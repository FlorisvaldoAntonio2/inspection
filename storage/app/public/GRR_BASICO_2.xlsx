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 Entry" sheetId="1" state="visible" r:id="rId3"/>
    <sheet name="Calculation" sheetId="2" state="visible" r:id="rId4"/>
    <sheet name="Statistical Report" sheetId="3" state="visible" r:id="rId5"/>
    <sheet name="Graph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<sst xmlns="http://schemas.openxmlformats.org/spreadsheetml/2006/main" count="220" uniqueCount="108">
  <si>
    <t xml:space="preserve">Gage R&amp;R </t>
  </si>
  <si>
    <t xml:space="preserve">Categoria</t>
  </si>
  <si>
    <t xml:space="preserve">Contagem</t>
  </si>
  <si>
    <t xml:space="preserve">Percentual</t>
  </si>
  <si>
    <t xml:space="preserve">^2</t>
  </si>
  <si>
    <t xml:space="preserve">DATE:</t>
  </si>
  <si>
    <t xml:space="preserve">09/08/2024</t>
  </si>
  <si>
    <t xml:space="preserve">NO GOOD</t>
  </si>
  <si>
    <t xml:space="preserve">NAME:</t>
  </si>
  <si>
    <t xml:space="preserve">Apenas um grande teste</t>
  </si>
  <si>
    <t xml:space="preserve">GOOD</t>
  </si>
  <si>
    <t xml:space="preserve">PRODUCT:</t>
  </si>
  <si>
    <t xml:space="preserve">GP32H</t>
  </si>
  <si>
    <t xml:space="preserve">All operators</t>
  </si>
  <si>
    <t xml:space="preserve">Total</t>
  </si>
  <si>
    <t xml:space="preserve">BUSINESS</t>
  </si>
  <si>
    <t xml:space="preserve">WISTRON</t>
  </si>
  <si>
    <t xml:space="preserve">agree within and</t>
  </si>
  <si>
    <t xml:space="preserve">All Operators</t>
  </si>
  <si>
    <t xml:space="preserve">Report Ref# : </t>
  </si>
  <si>
    <t xml:space="preserve">between each</t>
  </si>
  <si>
    <t xml:space="preserve">agree with</t>
  </si>
  <si>
    <t xml:space="preserve">Other</t>
  </si>
  <si>
    <t xml:space="preserve">standard</t>
  </si>
  <si>
    <t xml:space="preserve">Known Population</t>
  </si>
  <si>
    <t xml:space="preserve">No user</t>
  </si>
  <si>
    <t xml:space="preserve">Y/N</t>
  </si>
  <si>
    <t xml:space="preserve">Sample #</t>
  </si>
  <si>
    <t xml:space="preserve">Attribute</t>
  </si>
  <si>
    <t xml:space="preserve">Try #1</t>
  </si>
  <si>
    <t xml:space="preserve">Try #2</t>
  </si>
  <si>
    <t xml:space="preserve">Agree</t>
  </si>
  <si>
    <r>
      <rPr>
        <b val="true"/>
        <sz val="14"/>
        <color rgb="FF000000"/>
        <rFont val="Arial"/>
        <family val="0"/>
        <charset val="1"/>
      </rPr>
      <t xml:space="preserve">% APPRAISER SCORE</t>
    </r>
    <r>
      <rPr>
        <b val="true"/>
        <vertAlign val="superscript"/>
        <sz val="14"/>
        <color rgb="FF000000"/>
        <rFont val="Arial"/>
        <family val="0"/>
        <charset val="1"/>
      </rPr>
      <t xml:space="preserve">(1)</t>
    </r>
    <r>
      <rPr>
        <b val="true"/>
        <sz val="14"/>
        <color rgb="FF000000"/>
        <rFont val="Arial"/>
        <family val="0"/>
        <charset val="1"/>
      </rPr>
      <t xml:space="preserve"> -&gt;</t>
    </r>
  </si>
  <si>
    <r>
      <rPr>
        <b val="true"/>
        <sz val="14"/>
        <color rgb="FF0000FF"/>
        <rFont val="Arial"/>
        <family val="0"/>
        <charset val="1"/>
      </rPr>
      <t xml:space="preserve">% SCORE VS. ATTRIBUTE</t>
    </r>
    <r>
      <rPr>
        <b val="true"/>
        <vertAlign val="superscript"/>
        <sz val="14"/>
        <color rgb="FF0000FF"/>
        <rFont val="Arial"/>
        <family val="0"/>
        <charset val="1"/>
      </rPr>
      <t xml:space="preserve">(2)</t>
    </r>
    <r>
      <rPr>
        <b val="true"/>
        <sz val="14"/>
        <color rgb="FF0000FF"/>
        <rFont val="Arial"/>
        <family val="0"/>
        <charset val="1"/>
      </rPr>
      <t xml:space="preserve"> -&gt;</t>
    </r>
  </si>
  <si>
    <r>
      <rPr>
        <b val="true"/>
        <sz val="14"/>
        <color rgb="FF000000"/>
        <rFont val="Arial"/>
        <family val="0"/>
        <charset val="1"/>
      </rPr>
      <t xml:space="preserve">SCREEN % EFFECTIVE SCORE</t>
    </r>
    <r>
      <rPr>
        <b val="true"/>
        <vertAlign val="superscript"/>
        <sz val="14"/>
        <color rgb="FF000000"/>
        <rFont val="Arial"/>
        <family val="0"/>
        <charset val="1"/>
      </rPr>
      <t xml:space="preserve">(3)</t>
    </r>
    <r>
      <rPr>
        <b val="true"/>
        <sz val="14"/>
        <color rgb="FF000000"/>
        <rFont val="Arial"/>
        <family val="0"/>
        <charset val="1"/>
      </rPr>
      <t xml:space="preserve"> -&gt;</t>
    </r>
  </si>
  <si>
    <r>
      <rPr>
        <b val="true"/>
        <sz val="14"/>
        <color rgb="FF0000FF"/>
        <rFont val="Arial"/>
        <family val="0"/>
        <charset val="1"/>
      </rPr>
      <t xml:space="preserve">SCREEN % EFFECTIVE SCORE vs. ATTRIBUTE </t>
    </r>
    <r>
      <rPr>
        <b val="true"/>
        <vertAlign val="superscript"/>
        <sz val="14"/>
        <color rgb="FF0000FF"/>
        <rFont val="Arial"/>
        <family val="0"/>
        <charset val="1"/>
      </rPr>
      <t xml:space="preserve">(4)</t>
    </r>
    <r>
      <rPr>
        <b val="true"/>
        <sz val="14"/>
        <color rgb="FF0000FF"/>
        <rFont val="Arial"/>
        <family val="0"/>
        <charset val="1"/>
      </rPr>
      <t xml:space="preserve"> -&gt;</t>
    </r>
  </si>
  <si>
    <t xml:space="preserve">Note:</t>
  </si>
  <si>
    <t xml:space="preserve">(1)</t>
  </si>
  <si>
    <t xml:space="preserve">Operator agrees with him/herself on both trials </t>
  </si>
  <si>
    <t xml:space="preserve">(2)</t>
  </si>
  <si>
    <t xml:space="preserve">Operator agrees on both trials with the known standard</t>
  </si>
  <si>
    <t xml:space="preserve">(3)</t>
  </si>
  <si>
    <t xml:space="preserve">All operators agreed within and between themselves</t>
  </si>
  <si>
    <t xml:space="preserve">(4)</t>
  </si>
  <si>
    <t xml:space="preserve">All operators agreed within and between themselves AND agreed with the known standard</t>
  </si>
  <si>
    <t xml:space="preserve">(5)</t>
  </si>
  <si>
    <t xml:space="preserve">Enter Pass/FALHA, Good/Bad, Accept/Reject or other labels which indicate status of inspection</t>
  </si>
  <si>
    <t xml:space="preserve">Po</t>
  </si>
  <si>
    <t xml:space="preserve">Pe</t>
  </si>
  <si>
    <t xml:space="preserve">Kappa</t>
  </si>
  <si>
    <t xml:space="preserve">False Negative </t>
  </si>
  <si>
    <t xml:space="preserve">False Positive</t>
  </si>
  <si>
    <t xml:space="preserve">quantity divergence</t>
  </si>
  <si>
    <t xml:space="preserve">Good</t>
  </si>
  <si>
    <t xml:space="preserve">No Good</t>
  </si>
  <si>
    <t xml:space="preserve">Gage R&amp;R for Attributes</t>
  </si>
  <si>
    <t xml:space="preserve">Statistical Report</t>
  </si>
  <si>
    <t xml:space="preserve">BUSINESS:</t>
  </si>
  <si>
    <t xml:space="preserve">Source</t>
  </si>
  <si>
    <t xml:space="preserve">All</t>
  </si>
  <si>
    <t xml:space="preserve">Metric</t>
  </si>
  <si>
    <r>
      <rPr>
        <b val="true"/>
        <sz val="10"/>
        <color rgb="FF000000"/>
        <rFont val="Arial"/>
        <family val="0"/>
        <charset val="1"/>
      </rPr>
      <t xml:space="preserve">Screen % Effective Score</t>
    </r>
    <r>
      <rPr>
        <b val="true"/>
        <vertAlign val="superscript"/>
        <sz val="10"/>
        <color rgb="FF000000"/>
        <rFont val="Arial"/>
        <family val="0"/>
        <charset val="1"/>
      </rPr>
      <t xml:space="preserve">3</t>
    </r>
  </si>
  <si>
    <r>
      <rPr>
        <b val="true"/>
        <sz val="10"/>
        <color rgb="FF000000"/>
        <rFont val="Arial"/>
        <family val="0"/>
        <charset val="1"/>
      </rPr>
      <t xml:space="preserve">Screen % Effective Score vs Attribute</t>
    </r>
    <r>
      <rPr>
        <b val="true"/>
        <vertAlign val="superscript"/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</si>
  <si>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% Appraiser</t>
    </r>
    <r>
      <rPr>
        <vertAlign val="superscript"/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</si>
  <si>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%Score vs Attribute</t>
    </r>
    <r>
      <rPr>
        <vertAlign val="superscript"/>
        <sz val="10"/>
        <color rgb="FF000000"/>
        <rFont val="Arial"/>
        <family val="0"/>
        <charset val="1"/>
      </rPr>
      <t xml:space="preserve">2</t>
    </r>
  </si>
  <si>
    <r>
      <rPr>
        <b val="true"/>
        <sz val="10"/>
        <color rgb="FF000000"/>
        <rFont val="Arial"/>
        <family val="0"/>
        <charset val="1"/>
      </rPr>
      <t xml:space="preserve">% Appraiser</t>
    </r>
    <r>
      <rPr>
        <b val="true"/>
        <vertAlign val="superscript"/>
        <sz val="10"/>
        <color rgb="FF000000"/>
        <rFont val="Arial"/>
        <family val="0"/>
        <charset val="1"/>
      </rPr>
      <t xml:space="preserve">1</t>
    </r>
  </si>
  <si>
    <r>
      <rPr>
        <b val="true"/>
        <sz val="10"/>
        <color rgb="FF000000"/>
        <rFont val="Arial"/>
        <family val="0"/>
        <charset val="1"/>
      </rPr>
      <t xml:space="preserve">%Score vs Attribute</t>
    </r>
    <r>
      <rPr>
        <b val="true"/>
        <vertAlign val="superscript"/>
        <sz val="10"/>
        <color rgb="FF000000"/>
        <rFont val="Arial"/>
        <family val="0"/>
        <charset val="1"/>
      </rPr>
      <t xml:space="preserve">2</t>
    </r>
  </si>
  <si>
    <t xml:space="preserve">Total Inspected</t>
  </si>
  <si>
    <t xml:space="preserve"># Matched</t>
  </si>
  <si>
    <t xml:space="preserve">Total parts</t>
  </si>
  <si>
    <t xml:space="preserve">Score</t>
  </si>
  <si>
    <t xml:space="preserve">Standard deviation Score</t>
  </si>
  <si>
    <t xml:space="preserve">Result</t>
  </si>
  <si>
    <t xml:space="preserve">Assessment Disagreement</t>
  </si>
  <si>
    <t xml:space="preserve">Quantity</t>
  </si>
  <si>
    <t xml:space="preserve">%</t>
  </si>
  <si>
    <t xml:space="preserve">False Negative (rejected good product)</t>
  </si>
  <si>
    <t xml:space="preserve">False Positive  (accepted bad product)</t>
  </si>
  <si>
    <t xml:space="preserve">Mixed (decisions are not repeated)</t>
  </si>
  <si>
    <t xml:space="preserve">Statistical geral</t>
  </si>
  <si>
    <t xml:space="preserve">Lowest score</t>
  </si>
  <si>
    <t xml:space="preserve">Nº Piece with most discrepancies</t>
  </si>
  <si>
    <t xml:space="preserve">Highest score</t>
  </si>
  <si>
    <t xml:space="preserve">Quantity of parts that all operators disagree on</t>
  </si>
  <si>
    <t xml:space="preserve">Quantity of parts that all operators agree on</t>
  </si>
  <si>
    <t xml:space="preserve">Responses status</t>
  </si>
  <si>
    <t xml:space="preserve">TOTAL</t>
  </si>
  <si>
    <t xml:space="preserve">Acceptance Criteria:</t>
  </si>
  <si>
    <t xml:space="preserve">Foot Notes</t>
  </si>
  <si>
    <t xml:space="preserve">Reject</t>
  </si>
  <si>
    <t xml:space="preserve">Marginal</t>
  </si>
  <si>
    <t xml:space="preserve">Accept</t>
  </si>
  <si>
    <t xml:space="preserve">  (1) Operator agrees with him/herself on both trials.</t>
  </si>
  <si>
    <t xml:space="preserve">False Negative</t>
  </si>
  <si>
    <t xml:space="preserve">  (2) Operator agrees on both trials with the known standard</t>
  </si>
  <si>
    <t xml:space="preserve">False Positive </t>
  </si>
  <si>
    <t xml:space="preserve">  (3) All operators agreed within and between themselves</t>
  </si>
  <si>
    <t xml:space="preserve">Effectiveness</t>
  </si>
  <si>
    <t xml:space="preserve">  (4) All operators agreed within &amp; between themselves
        AND agreed with the known standard</t>
  </si>
  <si>
    <t xml:space="preserve">Kappa Value</t>
  </si>
  <si>
    <t xml:space="preserve">*Marginal = Marginally acceptable for the appraiser – may need improvement</t>
  </si>
  <si>
    <t xml:space="preserve">Conclusion:</t>
  </si>
  <si>
    <t xml:space="preserve">Remark:</t>
  </si>
  <si>
    <t xml:space="preserve">Prepared By: William Felipe Crepaldi</t>
  </si>
  <si>
    <t xml:space="preserve">Reviewed By: Teodorico Neto</t>
  </si>
  <si>
    <t xml:space="preserve">Approved By:  </t>
  </si>
  <si>
    <t xml:space="preserve">Name</t>
  </si>
  <si>
    <t xml:space="preserve">Date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</si>
</sst>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/m/yyyy"/>
    <numFmt numFmtId="166" formatCode="0.00%"/>
    <numFmt numFmtId="167" formatCode="0"/>
    <numFmt numFmtId="168" formatCode="0.00"/>
    <numFmt numFmtId="169" formatCode="0.0%"/>
    <numFmt numFmtId="170" formatCode="0.0000"/>
    <numFmt numFmtId="171" formatCode="_-* #,##0.00_-;\-* #,##0.00_-;_-* \-??_-;_-@_-"/>
    <numFmt numFmtId="172" formatCode="&quot;&gt; &quot;0.0%;&quot;Invalid, Invalid, Invalid&quot;"/>
    <numFmt numFmtId="173" formatCode="&quot;&lt; &quot;0.0%;&quot;Invalid, Invalid, Invalid&quot;"/>
    <numFmt numFmtId="174" formatCode="&quot;&lt; &quot;0.00;&quot;Invalid, Invalid, Invalid&quot;"/>
    <numFmt numFmtId="175" formatCode="&quot;&gt; &quot;0.00;&quot;Invalid, Invalid, Invalid&quot;"/>
  </numFmts>
  <fonts count="4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u val="single"/>
      <sz val="24"/>
      <color rgb="FF000000"/>
      <name val="Times New Roman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u val="single"/>
      <sz val="12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2"/>
      <color rgb="FF0000FF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vertAlign val="superscript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vertAlign val="superscript"/>
      <sz val="14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vertAlign val="superscript"/>
      <sz val="10"/>
      <color rgb="FF000000"/>
      <name val="Arial"/>
      <family val="0"/>
      <charset val="1"/>
    </font>
    <font>
      <vertAlign val="superscript"/>
      <sz val="10"/>
      <color rgb="FF000000"/>
      <name val="Arial"/>
      <family val="0"/>
      <charset val="1"/>
    </font>
    <font>
      <sz val="10"/>
      <color rgb="FF42424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1"/>
      <color rgb="FF42424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1"/>
      <color rgb="FF242424"/>
      <name val="Consolas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E36C09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i val="true"/>
      <sz val="8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69393"/>
        <bgColor rgb="FFFF99CC"/>
      </patternFill>
    </fill>
    <fill>
      <patternFill patternType="solid">
        <fgColor theme="7" tint="0.5999"/>
        <bgColor rgb="FFFFFFCC"/>
      </patternFill>
    </fill>
    <fill>
      <patternFill patternType="solid">
        <fgColor rgb="FFD0CECE"/>
        <bgColor rgb="FFCCCCFF"/>
      </patternFill>
    </fill>
  </fills>
  <borders count="6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ck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ck"/>
      <right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 style="medium"/>
      <top style="thin"/>
      <bottom style="thick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4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4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2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2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2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3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3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4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" fillId="0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31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31" fillId="0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31" fillId="0" borderId="6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31" fillId="0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41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41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31" fillId="0" borderId="3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7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7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0006"/>
      </font>
      <fill>
        <patternFill>
          <bgColor rgb="FFFFC7CE"/>
        </patternFill>
      </fill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  <dxf>
      <font>
        <color rgb="FF008000"/>
      </font>
    </dxf>
    <dxf>
      <font>
        <color rgb="FFE36C09"/>
      </font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E6939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36C09"/>
      <rgbColor rgb="FF666699"/>
      <rgbColor rgb="FF969696"/>
      <rgbColor rgb="FF003366"/>
      <rgbColor rgb="FF339966"/>
      <rgbColor rgb="FF006100"/>
      <rgbColor rgb="FF424242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3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B12" activeCellId="0" sqref="AB1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.57"/>
    <col collapsed="false" customWidth="true" hidden="false" outlineLevel="0" max="2" min="2" style="1" width="2.16"/>
    <col collapsed="false" customWidth="true" hidden="false" outlineLevel="0" max="3" min="3" style="1" width="11.43"/>
    <col collapsed="false" customWidth="true" hidden="false" outlineLevel="0" max="28" min="4" style="1" width="14.71"/>
    <col collapsed="false" customWidth="true" hidden="false" outlineLevel="0" max="30" min="29" style="1" width="14.29"/>
    <col collapsed="false" customWidth="true" hidden="false" outlineLevel="0" max="36" min="31" style="1" width="9.14"/>
    <col collapsed="false" customWidth="true" hidden="false" outlineLevel="0" max="37" min="37" style="1" width="10.14"/>
    <col collapsed="false" customWidth="true" hidden="false" outlineLevel="0" max="38" min="38" style="1" width="10.57"/>
    <col collapsed="false" customWidth="true" hidden="false" outlineLevel="0" max="39" min="39" style="1" width="13.29"/>
    <col collapsed="false" customWidth="true" hidden="false" outlineLevel="0" max="40" min="40" style="1" width="11.43"/>
  </cols>
  <sheetData>
    <row r="1" customFormat="false" ht="30" hidden="true" customHeight="true" outlineLevel="0" collapsed="false">
      <c r="A1" s="2"/>
      <c r="B1" s="2"/>
      <c r="C1" s="3"/>
      <c r="D1" s="4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1"/>
    </row>
    <row r="2" customFormat="false" ht="30" hidden="true" customHeight="true" outlineLevel="0" collapsed="false">
      <c r="A2" s="2"/>
      <c r="B2" s="2"/>
      <c r="C2" s="3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1"/>
    </row>
    <row r="3" customFormat="false" ht="12.75" hidden="false" customHeight="true" outlineLevel="0" collapsed="false">
      <c r="A3" s="2"/>
      <c r="B3" s="2"/>
      <c r="C3" s="3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1"/>
    </row>
    <row r="4" customFormat="false" ht="26.25" hidden="false" customHeight="true" outlineLevel="0" collapsed="false">
      <c r="A4" s="2"/>
      <c r="B4" s="2"/>
      <c r="C4" s="6" t="s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2"/>
      <c r="AF4" s="2"/>
      <c r="AG4" s="2"/>
      <c r="AH4" s="2"/>
      <c r="AI4" s="2"/>
      <c r="AJ4" s="2"/>
      <c r="AK4" s="7" t="s">
        <v>1</v>
      </c>
      <c r="AL4" s="7" t="s">
        <v>2</v>
      </c>
      <c r="AM4" s="8" t="s">
        <v>3</v>
      </c>
      <c r="AN4" s="7" t="s">
        <v>4</v>
      </c>
      <c r="AO4" s="1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9" t="s">
        <v>5</v>
      </c>
      <c r="I5" s="10" t="n">
        <v>45182</v>
      </c>
      <c r="J5" s="10" t="s">
        <v>6</v>
      </c>
      <c r="K5" s="10"/>
      <c r="L5" s="2"/>
      <c r="AE5" s="2"/>
      <c r="AF5" s="2"/>
      <c r="AG5" s="2"/>
      <c r="AH5" s="2"/>
      <c r="AI5" s="2"/>
      <c r="AJ5" s="2"/>
      <c r="AK5" s="11" t="s">
        <v>7</v>
      </c>
      <c r="AL5" s="11" t="n">
        <f aca="false">COUNTIF($E$13:$AB$42,"NO GOOD")</f>
        <v>0</v>
      </c>
      <c r="AM5" s="12" t="e">
        <f aca="false">AL5/AL7</f>
        <v>#DIV/0!</v>
      </c>
      <c r="AN5" s="13" t="e">
        <f aca="false">AM5^2</f>
        <v>#DIV/0!</v>
      </c>
      <c r="AO5" s="1"/>
    </row>
    <row r="6" customFormat="false" ht="18.75" hidden="false" customHeight="true" outlineLevel="0" collapsed="false">
      <c r="A6" s="2"/>
      <c r="B6" s="2"/>
      <c r="C6" s="2"/>
      <c r="D6" s="14"/>
      <c r="E6" s="2"/>
      <c r="F6" s="2"/>
      <c r="G6" s="2"/>
      <c r="H6" s="9" t="s">
        <v>8</v>
      </c>
      <c r="I6" s="15" t="s">
        <v>9</v>
      </c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1" t="s">
        <v>10</v>
      </c>
      <c r="AL6" s="11" t="n">
        <f aca="false">COUNTIF($E$13:$AB$42,"GOOD")</f>
        <v>0</v>
      </c>
      <c r="AM6" s="12" t="e">
        <f aca="false">AL6/AL7</f>
        <v>#DIV/0!</v>
      </c>
      <c r="AN6" s="16" t="e">
        <f aca="false">AM6^2</f>
        <v>#DIV/0!</v>
      </c>
      <c r="AO6" s="1"/>
    </row>
    <row r="7" customFormat="false" ht="15.75" hidden="false" customHeight="true" outlineLevel="0" collapsed="false">
      <c r="A7" s="17"/>
      <c r="B7" s="17"/>
      <c r="C7" s="18"/>
      <c r="D7" s="19" t="s">
        <v>10</v>
      </c>
      <c r="E7" s="2"/>
      <c r="F7" s="2"/>
      <c r="G7" s="2"/>
      <c r="H7" s="9" t="s">
        <v>11</v>
      </c>
      <c r="I7" s="15" t="s">
        <v>12</v>
      </c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0" t="s">
        <v>13</v>
      </c>
      <c r="AD7" s="17"/>
      <c r="AE7" s="17"/>
      <c r="AF7" s="17"/>
      <c r="AG7" s="17"/>
      <c r="AH7" s="17"/>
      <c r="AI7" s="17"/>
      <c r="AJ7" s="17"/>
      <c r="AK7" s="21" t="s">
        <v>14</v>
      </c>
      <c r="AL7" s="21" t="n">
        <f aca="false">AL5+AL6</f>
        <v>0</v>
      </c>
      <c r="AM7" s="22" t="e">
        <f aca="false">AM5+AM6</f>
        <v>#DIV/0!</v>
      </c>
      <c r="AN7" s="23" t="e">
        <f aca="false">AN5+AN6</f>
        <v>#DIV/0!</v>
      </c>
      <c r="AO7" s="1"/>
    </row>
    <row r="8" customFormat="false" ht="15.75" hidden="false" customHeight="true" outlineLevel="0" collapsed="false">
      <c r="A8" s="17"/>
      <c r="B8" s="17"/>
      <c r="C8" s="18"/>
      <c r="D8" s="19" t="s">
        <v>7</v>
      </c>
      <c r="E8" s="2"/>
      <c r="F8" s="2"/>
      <c r="G8" s="2"/>
      <c r="H8" s="9" t="s">
        <v>15</v>
      </c>
      <c r="I8" s="15" t="s">
        <v>16</v>
      </c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0" t="s">
        <v>17</v>
      </c>
      <c r="AD8" s="20" t="s">
        <v>18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"/>
    </row>
    <row r="9" customFormat="false" ht="15.75" hidden="false" customHeight="true" outlineLevel="0" collapsed="false">
      <c r="A9" s="17"/>
      <c r="B9" s="17"/>
      <c r="C9" s="2"/>
      <c r="D9" s="2"/>
      <c r="E9" s="2"/>
      <c r="F9" s="2"/>
      <c r="G9" s="2"/>
      <c r="H9" s="9" t="s">
        <v>19</v>
      </c>
      <c r="I9" s="24" t="n">
        <v>2023</v>
      </c>
      <c r="J9" s="24" t="n">
        <v>2024</v>
      </c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0" t="s">
        <v>20</v>
      </c>
      <c r="AD9" s="20" t="s">
        <v>21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"/>
    </row>
    <row r="10" customFormat="false" ht="15.75" hidden="false" customHeight="true" outlineLevel="0" collapsed="false">
      <c r="A10" s="17"/>
      <c r="B10" s="1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0" t="s">
        <v>22</v>
      </c>
      <c r="AD10" s="20" t="s">
        <v>23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"/>
    </row>
    <row r="11" customFormat="false" ht="16.5" hidden="false" customHeight="true" outlineLevel="0" collapsed="false">
      <c r="A11" s="17"/>
      <c r="B11" s="17"/>
      <c r="C11" s="25" t="s">
        <v>24</v>
      </c>
      <c r="D11" s="25"/>
      <c r="E11" s="26" t="s">
        <v>25</v>
      </c>
      <c r="F11" s="26"/>
      <c r="G11" s="26"/>
      <c r="H11" s="26" t="s">
        <v>25</v>
      </c>
      <c r="I11" s="26"/>
      <c r="J11" s="26"/>
      <c r="K11" s="26" t="s">
        <v>25</v>
      </c>
      <c r="L11" s="26"/>
      <c r="M11" s="26"/>
      <c r="N11" s="26" t="s">
        <v>25</v>
      </c>
      <c r="O11" s="26"/>
      <c r="P11" s="26"/>
      <c r="Q11" s="26" t="s">
        <v>25</v>
      </c>
      <c r="R11" s="26"/>
      <c r="S11" s="26"/>
      <c r="T11" s="26" t="s">
        <v>25</v>
      </c>
      <c r="U11" s="26"/>
      <c r="V11" s="26"/>
      <c r="W11" s="26" t="s">
        <v>25</v>
      </c>
      <c r="X11" s="26"/>
      <c r="Y11" s="26"/>
      <c r="Z11" s="26" t="s">
        <v>25</v>
      </c>
      <c r="AA11" s="26"/>
      <c r="AB11" s="26"/>
      <c r="AC11" s="27" t="s">
        <v>26</v>
      </c>
      <c r="AD11" s="28" t="s">
        <v>26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"/>
    </row>
    <row r="12" customFormat="false" ht="16.5" hidden="false" customHeight="true" outlineLevel="0" collapsed="false">
      <c r="A12" s="17"/>
      <c r="B12" s="17"/>
      <c r="C12" s="29" t="s">
        <v>27</v>
      </c>
      <c r="D12" s="30" t="s">
        <v>28</v>
      </c>
      <c r="E12" s="25" t="s">
        <v>29</v>
      </c>
      <c r="F12" s="31" t="s">
        <v>30</v>
      </c>
      <c r="G12" s="32"/>
      <c r="H12" s="25" t="s">
        <v>29</v>
      </c>
      <c r="I12" s="31" t="s">
        <v>30</v>
      </c>
      <c r="J12" s="32"/>
      <c r="K12" s="25" t="s">
        <v>29</v>
      </c>
      <c r="L12" s="31" t="s">
        <v>30</v>
      </c>
      <c r="M12" s="32"/>
      <c r="N12" s="33" t="s">
        <v>29</v>
      </c>
      <c r="O12" s="31" t="s">
        <v>30</v>
      </c>
      <c r="P12" s="33"/>
      <c r="Q12" s="25" t="s">
        <v>29</v>
      </c>
      <c r="R12" s="31" t="s">
        <v>30</v>
      </c>
      <c r="S12" s="32"/>
      <c r="T12" s="25" t="s">
        <v>29</v>
      </c>
      <c r="U12" s="31" t="s">
        <v>30</v>
      </c>
      <c r="V12" s="32"/>
      <c r="W12" s="25" t="s">
        <v>29</v>
      </c>
      <c r="X12" s="31" t="s">
        <v>30</v>
      </c>
      <c r="Y12" s="32"/>
      <c r="Z12" s="25" t="s">
        <v>29</v>
      </c>
      <c r="AA12" s="31" t="s">
        <v>30</v>
      </c>
      <c r="AB12" s="32"/>
      <c r="AC12" s="34" t="s">
        <v>31</v>
      </c>
      <c r="AD12" s="35" t="s">
        <v>31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"/>
    </row>
    <row r="13" customFormat="false" ht="15.75" hidden="false" customHeight="true" outlineLevel="0" collapsed="false">
      <c r="A13" s="17"/>
      <c r="B13" s="17"/>
      <c r="C13" s="36" t="n">
        <v>1</v>
      </c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40"/>
      <c r="O13" s="38"/>
      <c r="P13" s="41"/>
      <c r="Q13" s="37"/>
      <c r="R13" s="38"/>
      <c r="S13" s="39"/>
      <c r="T13" s="37"/>
      <c r="U13" s="38"/>
      <c r="V13" s="39"/>
      <c r="W13" s="37"/>
      <c r="X13" s="38"/>
      <c r="Y13" s="39"/>
      <c r="Z13" s="37"/>
      <c r="AA13" s="38"/>
      <c r="AB13" s="39"/>
      <c r="AC13" s="42" t="str">
        <f aca="false">IF(D13="","",IF(COUNTIF(E13:AB13, E13)=COUNTA(E13:AB13),1,0))</f>
        <v/>
      </c>
      <c r="AD13" s="43" t="str">
        <f aca="false">IF(D13="","",IF(COUNTIF(E13:AB13, D13)=0,1,0))</f>
        <v/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"/>
    </row>
    <row r="14" customFormat="false" ht="15.75" hidden="false" customHeight="true" outlineLevel="0" collapsed="false">
      <c r="A14" s="17"/>
      <c r="B14" s="17"/>
      <c r="C14" s="36" t="n">
        <v>2</v>
      </c>
      <c r="D14" s="44"/>
      <c r="E14" s="45"/>
      <c r="F14" s="46"/>
      <c r="G14" s="47"/>
      <c r="H14" s="45"/>
      <c r="I14" s="46"/>
      <c r="J14" s="47"/>
      <c r="K14" s="45"/>
      <c r="L14" s="46"/>
      <c r="M14" s="47"/>
      <c r="N14" s="48"/>
      <c r="O14" s="46"/>
      <c r="P14" s="49"/>
      <c r="Q14" s="45"/>
      <c r="R14" s="46"/>
      <c r="S14" s="47"/>
      <c r="T14" s="45"/>
      <c r="U14" s="46"/>
      <c r="V14" s="47"/>
      <c r="W14" s="45"/>
      <c r="X14" s="46"/>
      <c r="Y14" s="47"/>
      <c r="Z14" s="45"/>
      <c r="AA14" s="46"/>
      <c r="AB14" s="47"/>
      <c r="AC14" s="42" t="str">
        <f aca="false">IF(D14="","",IF(COUNTIF(E14:AB14, E14)=COUNTA(E14:AB14),1,0))</f>
        <v/>
      </c>
      <c r="AD14" s="43" t="str">
        <f aca="false">IF(D14="","",IF(COUNTIF(E14:AB14, D14)=0,1,0))</f>
        <v/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"/>
    </row>
    <row r="15" customFormat="false" ht="15.75" hidden="false" customHeight="true" outlineLevel="0" collapsed="false">
      <c r="A15" s="17"/>
      <c r="B15" s="17"/>
      <c r="C15" s="36" t="n">
        <v>3</v>
      </c>
      <c r="D15" s="50"/>
      <c r="E15" s="37"/>
      <c r="F15" s="38"/>
      <c r="G15" s="39"/>
      <c r="H15" s="37"/>
      <c r="I15" s="38"/>
      <c r="J15" s="39"/>
      <c r="K15" s="37"/>
      <c r="L15" s="38"/>
      <c r="M15" s="39"/>
      <c r="N15" s="40"/>
      <c r="O15" s="38"/>
      <c r="P15" s="41"/>
      <c r="Q15" s="37"/>
      <c r="R15" s="38"/>
      <c r="S15" s="39"/>
      <c r="T15" s="37"/>
      <c r="U15" s="38"/>
      <c r="V15" s="39"/>
      <c r="W15" s="37"/>
      <c r="X15" s="38"/>
      <c r="Y15" s="39"/>
      <c r="Z15" s="37"/>
      <c r="AA15" s="38"/>
      <c r="AB15" s="39"/>
      <c r="AC15" s="42" t="str">
        <f aca="false">IF(D15="","",IF(COUNTIF(E15:AB15, E15)=COUNTA(E15:AB15),1,0))</f>
        <v/>
      </c>
      <c r="AD15" s="43" t="str">
        <f aca="false">IF(D15="","",IF(COUNTIF(E15:AB15, D15)=0,1,0))</f>
        <v/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"/>
    </row>
    <row r="16" customFormat="false" ht="15.75" hidden="false" customHeight="true" outlineLevel="0" collapsed="false">
      <c r="A16" s="17"/>
      <c r="B16" s="17"/>
      <c r="C16" s="36" t="n">
        <v>4</v>
      </c>
      <c r="D16" s="50"/>
      <c r="E16" s="37"/>
      <c r="F16" s="38"/>
      <c r="G16" s="39"/>
      <c r="H16" s="37"/>
      <c r="I16" s="38"/>
      <c r="J16" s="39"/>
      <c r="K16" s="37"/>
      <c r="L16" s="38"/>
      <c r="M16" s="39"/>
      <c r="N16" s="40"/>
      <c r="O16" s="38"/>
      <c r="P16" s="41"/>
      <c r="Q16" s="37"/>
      <c r="R16" s="38"/>
      <c r="S16" s="39"/>
      <c r="T16" s="37"/>
      <c r="U16" s="38"/>
      <c r="V16" s="39"/>
      <c r="W16" s="37"/>
      <c r="X16" s="38"/>
      <c r="Y16" s="39"/>
      <c r="Z16" s="37"/>
      <c r="AA16" s="38"/>
      <c r="AB16" s="39"/>
      <c r="AC16" s="42" t="str">
        <f aca="false">IF(D16="","",IF(COUNTIF(E16:AB16, E16)=COUNTA(E16:AB16),1,0))</f>
        <v/>
      </c>
      <c r="AD16" s="43" t="str">
        <f aca="false">IF(D16="","",IF(COUNTIF(E16:AB16, D16)=0,1,0))</f>
        <v/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"/>
    </row>
    <row r="17" customFormat="false" ht="15.75" hidden="false" customHeight="true" outlineLevel="0" collapsed="false">
      <c r="A17" s="17"/>
      <c r="B17" s="17"/>
      <c r="C17" s="36" t="n">
        <v>5</v>
      </c>
      <c r="D17" s="50"/>
      <c r="E17" s="37"/>
      <c r="F17" s="38"/>
      <c r="G17" s="39"/>
      <c r="H17" s="37"/>
      <c r="I17" s="38"/>
      <c r="J17" s="39"/>
      <c r="K17" s="37"/>
      <c r="L17" s="38"/>
      <c r="M17" s="39"/>
      <c r="N17" s="40"/>
      <c r="O17" s="38"/>
      <c r="P17" s="41"/>
      <c r="Q17" s="37"/>
      <c r="R17" s="38"/>
      <c r="S17" s="39"/>
      <c r="T17" s="37"/>
      <c r="U17" s="38"/>
      <c r="V17" s="39"/>
      <c r="W17" s="37"/>
      <c r="X17" s="38"/>
      <c r="Y17" s="39"/>
      <c r="Z17" s="37"/>
      <c r="AA17" s="38"/>
      <c r="AB17" s="39"/>
      <c r="AC17" s="42" t="str">
        <f aca="false">IF(D17="","",IF(COUNTIF(E17:AB17, E17)=COUNTA(E17:AB17),1,0))</f>
        <v/>
      </c>
      <c r="AD17" s="43" t="str">
        <f aca="false">IF(D17="","",IF(COUNTIF(E17:AB17, D17)=0,1,0))</f>
        <v/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customFormat="false" ht="15.75" hidden="false" customHeight="true" outlineLevel="0" collapsed="false">
      <c r="A18" s="17"/>
      <c r="B18" s="17"/>
      <c r="C18" s="36" t="n">
        <v>6</v>
      </c>
      <c r="D18" s="44"/>
      <c r="E18" s="45"/>
      <c r="F18" s="46"/>
      <c r="G18" s="47"/>
      <c r="H18" s="45"/>
      <c r="I18" s="46"/>
      <c r="J18" s="47"/>
      <c r="K18" s="45"/>
      <c r="L18" s="46"/>
      <c r="M18" s="47"/>
      <c r="N18" s="48"/>
      <c r="O18" s="46"/>
      <c r="P18" s="49"/>
      <c r="Q18" s="45"/>
      <c r="R18" s="46"/>
      <c r="S18" s="47"/>
      <c r="T18" s="45"/>
      <c r="U18" s="46"/>
      <c r="V18" s="47"/>
      <c r="W18" s="45"/>
      <c r="X18" s="46"/>
      <c r="Y18" s="47"/>
      <c r="Z18" s="45"/>
      <c r="AA18" s="46"/>
      <c r="AB18" s="47"/>
      <c r="AC18" s="42" t="str">
        <f aca="false">IF(D18="","",IF(COUNTIF(E18:AB18, E18)=COUNTA(E18:AB18),1,0))</f>
        <v/>
      </c>
      <c r="AD18" s="43" t="str">
        <f aca="false">IF(D18="","",IF(COUNTIF(E18:AB18, D18)=0,1,0))</f>
        <v/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customFormat="false" ht="15.75" hidden="false" customHeight="true" outlineLevel="0" collapsed="false">
      <c r="A19" s="17"/>
      <c r="B19" s="17"/>
      <c r="C19" s="36" t="n">
        <v>7</v>
      </c>
      <c r="D19" s="50"/>
      <c r="E19" s="37"/>
      <c r="F19" s="38"/>
      <c r="G19" s="39"/>
      <c r="H19" s="37"/>
      <c r="I19" s="38"/>
      <c r="J19" s="39"/>
      <c r="K19" s="37"/>
      <c r="L19" s="38"/>
      <c r="M19" s="39"/>
      <c r="N19" s="40"/>
      <c r="O19" s="38"/>
      <c r="P19" s="41"/>
      <c r="Q19" s="37"/>
      <c r="R19" s="38"/>
      <c r="S19" s="39"/>
      <c r="T19" s="37"/>
      <c r="U19" s="38"/>
      <c r="V19" s="39"/>
      <c r="W19" s="37"/>
      <c r="X19" s="38"/>
      <c r="Y19" s="39"/>
      <c r="Z19" s="37"/>
      <c r="AA19" s="38"/>
      <c r="AB19" s="39"/>
      <c r="AC19" s="42" t="str">
        <f aca="false">IF(D19="","",IF(COUNTIF(E19:AB19, E19)=COUNTA(E19:AB19),1,0))</f>
        <v/>
      </c>
      <c r="AD19" s="43" t="str">
        <f aca="false">IF(D19="","",IF(COUNTIF(E19:AB19, D19)=0,1,0))</f>
        <v/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customFormat="false" ht="15.75" hidden="false" customHeight="true" outlineLevel="0" collapsed="false">
      <c r="A20" s="17"/>
      <c r="B20" s="17"/>
      <c r="C20" s="36" t="n">
        <v>8</v>
      </c>
      <c r="D20" s="50"/>
      <c r="E20" s="37"/>
      <c r="F20" s="38"/>
      <c r="G20" s="39"/>
      <c r="H20" s="37"/>
      <c r="I20" s="38"/>
      <c r="J20" s="39"/>
      <c r="K20" s="37"/>
      <c r="L20" s="38"/>
      <c r="M20" s="39"/>
      <c r="N20" s="40"/>
      <c r="O20" s="38"/>
      <c r="P20" s="41"/>
      <c r="Q20" s="37"/>
      <c r="R20" s="38"/>
      <c r="S20" s="39"/>
      <c r="T20" s="37"/>
      <c r="U20" s="38"/>
      <c r="V20" s="39"/>
      <c r="W20" s="37"/>
      <c r="X20" s="38"/>
      <c r="Y20" s="39"/>
      <c r="Z20" s="37"/>
      <c r="AA20" s="38"/>
      <c r="AB20" s="39"/>
      <c r="AC20" s="42" t="str">
        <f aca="false">IF(D20="","",IF(COUNTIF(E20:AB20, E20)=COUNTA(E20:AB20),1,0))</f>
        <v/>
      </c>
      <c r="AD20" s="43" t="str">
        <f aca="false">IF(D20="","",IF(COUNTIF(E20:AB20, D20)=0,1,0))</f>
        <v/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customFormat="false" ht="15.75" hidden="false" customHeight="true" outlineLevel="0" collapsed="false">
      <c r="A21" s="17"/>
      <c r="B21" s="17"/>
      <c r="C21" s="36" t="n">
        <v>9</v>
      </c>
      <c r="D21" s="44"/>
      <c r="E21" s="45"/>
      <c r="F21" s="46"/>
      <c r="G21" s="47"/>
      <c r="H21" s="45"/>
      <c r="I21" s="46"/>
      <c r="J21" s="47"/>
      <c r="K21" s="45"/>
      <c r="L21" s="46"/>
      <c r="M21" s="47"/>
      <c r="N21" s="45"/>
      <c r="O21" s="46"/>
      <c r="P21" s="47"/>
      <c r="Q21" s="45"/>
      <c r="R21" s="46"/>
      <c r="S21" s="47"/>
      <c r="T21" s="45"/>
      <c r="U21" s="46"/>
      <c r="V21" s="47"/>
      <c r="W21" s="45"/>
      <c r="X21" s="46"/>
      <c r="Y21" s="47"/>
      <c r="Z21" s="45"/>
      <c r="AA21" s="46"/>
      <c r="AB21" s="47"/>
      <c r="AC21" s="42" t="str">
        <f aca="false">IF(D21="","",IF(COUNTIF(E21:AB21, E21)=COUNTA(E21:AB21),1,0))</f>
        <v/>
      </c>
      <c r="AD21" s="43" t="str">
        <f aca="false">IF(D21="","",IF(COUNTIF(E21:AB21, D21)=0,1,0))</f>
        <v/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customFormat="false" ht="15.75" hidden="false" customHeight="true" outlineLevel="0" collapsed="false">
      <c r="A22" s="17"/>
      <c r="B22" s="17"/>
      <c r="C22" s="36" t="n">
        <v>10</v>
      </c>
      <c r="D22" s="50"/>
      <c r="E22" s="37"/>
      <c r="F22" s="38"/>
      <c r="G22" s="39"/>
      <c r="H22" s="37"/>
      <c r="I22" s="38"/>
      <c r="J22" s="39"/>
      <c r="K22" s="37"/>
      <c r="L22" s="38"/>
      <c r="M22" s="39"/>
      <c r="N22" s="40"/>
      <c r="O22" s="38"/>
      <c r="P22" s="41"/>
      <c r="Q22" s="37"/>
      <c r="R22" s="38"/>
      <c r="S22" s="39"/>
      <c r="T22" s="37"/>
      <c r="U22" s="38"/>
      <c r="V22" s="39"/>
      <c r="W22" s="37"/>
      <c r="X22" s="38"/>
      <c r="Y22" s="39"/>
      <c r="Z22" s="37"/>
      <c r="AA22" s="38"/>
      <c r="AB22" s="39"/>
      <c r="AC22" s="42" t="str">
        <f aca="false">IF(D22="","",IF(COUNTIF(E22:AB22, E22)=COUNTA(E22:AB22),1,0))</f>
        <v/>
      </c>
      <c r="AD22" s="43" t="str">
        <f aca="false">IF(D22="","",IF(COUNTIF(E22:AB22, D22)=0,1,0))</f>
        <v/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customFormat="false" ht="15.75" hidden="false" customHeight="true" outlineLevel="0" collapsed="false">
      <c r="A23" s="17"/>
      <c r="B23" s="17"/>
      <c r="C23" s="36" t="n">
        <v>11</v>
      </c>
      <c r="D23" s="44"/>
      <c r="E23" s="45"/>
      <c r="F23" s="46"/>
      <c r="G23" s="47"/>
      <c r="H23" s="45"/>
      <c r="I23" s="46"/>
      <c r="J23" s="47"/>
      <c r="K23" s="45"/>
      <c r="L23" s="46"/>
      <c r="M23" s="47"/>
      <c r="N23" s="48"/>
      <c r="O23" s="46"/>
      <c r="P23" s="49"/>
      <c r="Q23" s="45"/>
      <c r="R23" s="46"/>
      <c r="S23" s="47"/>
      <c r="T23" s="45"/>
      <c r="U23" s="46"/>
      <c r="V23" s="47"/>
      <c r="W23" s="45"/>
      <c r="X23" s="46"/>
      <c r="Y23" s="47"/>
      <c r="Z23" s="45"/>
      <c r="AA23" s="46"/>
      <c r="AB23" s="47"/>
      <c r="AC23" s="42" t="str">
        <f aca="false">IF(D23="","",IF(COUNTIF(E23:AB23, E23)=COUNTA(E23:AB23),1,0))</f>
        <v/>
      </c>
      <c r="AD23" s="43" t="str">
        <f aca="false">IF(D23="","",IF(COUNTIF(E23:AB23, D23)=0,1,0))</f>
        <v/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customFormat="false" ht="15.75" hidden="false" customHeight="true" outlineLevel="0" collapsed="false">
      <c r="A24" s="17"/>
      <c r="B24" s="17"/>
      <c r="C24" s="36" t="n">
        <v>12</v>
      </c>
      <c r="D24" s="50"/>
      <c r="E24" s="37"/>
      <c r="F24" s="38"/>
      <c r="G24" s="39"/>
      <c r="H24" s="37"/>
      <c r="I24" s="38"/>
      <c r="J24" s="39"/>
      <c r="K24" s="37"/>
      <c r="L24" s="38"/>
      <c r="M24" s="39"/>
      <c r="N24" s="40"/>
      <c r="O24" s="38"/>
      <c r="P24" s="41"/>
      <c r="Q24" s="37"/>
      <c r="R24" s="38"/>
      <c r="S24" s="39"/>
      <c r="T24" s="37"/>
      <c r="U24" s="38"/>
      <c r="V24" s="39"/>
      <c r="W24" s="37"/>
      <c r="X24" s="38"/>
      <c r="Y24" s="39"/>
      <c r="Z24" s="37"/>
      <c r="AA24" s="38"/>
      <c r="AB24" s="39"/>
      <c r="AC24" s="42" t="str">
        <f aca="false">IF(D24="","",IF(COUNTIF(E24:AB24, E24)=COUNTA(E24:AB24),1,0))</f>
        <v/>
      </c>
      <c r="AD24" s="43" t="str">
        <f aca="false">IF(D24="","",IF(COUNTIF(E24:AB24, D24)=0,1,0))</f>
        <v/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customFormat="false" ht="15.75" hidden="false" customHeight="true" outlineLevel="0" collapsed="false">
      <c r="A25" s="17"/>
      <c r="B25" s="17"/>
      <c r="C25" s="36" t="n">
        <v>13</v>
      </c>
      <c r="D25" s="44"/>
      <c r="E25" s="45"/>
      <c r="F25" s="46"/>
      <c r="G25" s="47"/>
      <c r="H25" s="45"/>
      <c r="I25" s="46"/>
      <c r="J25" s="47"/>
      <c r="K25" s="45"/>
      <c r="L25" s="46"/>
      <c r="M25" s="47"/>
      <c r="N25" s="45"/>
      <c r="O25" s="46"/>
      <c r="P25" s="47"/>
      <c r="Q25" s="45"/>
      <c r="R25" s="46"/>
      <c r="S25" s="47"/>
      <c r="T25" s="45"/>
      <c r="U25" s="46"/>
      <c r="V25" s="47"/>
      <c r="W25" s="45"/>
      <c r="X25" s="46"/>
      <c r="Y25" s="47"/>
      <c r="Z25" s="45"/>
      <c r="AA25" s="46"/>
      <c r="AB25" s="47"/>
      <c r="AC25" s="42" t="str">
        <f aca="false">IF(D25="","",IF(COUNTIF(E25:AB25, E25)=COUNTA(E25:AB25),1,0))</f>
        <v/>
      </c>
      <c r="AD25" s="43" t="str">
        <f aca="false">IF(D25="","",IF(COUNTIF(E25:AB25, D25)=0,1,0))</f>
        <v/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customFormat="false" ht="15.75" hidden="false" customHeight="true" outlineLevel="0" collapsed="false">
      <c r="A26" s="17"/>
      <c r="B26" s="17"/>
      <c r="C26" s="36" t="n">
        <v>14</v>
      </c>
      <c r="D26" s="50"/>
      <c r="E26" s="37"/>
      <c r="F26" s="38"/>
      <c r="G26" s="39"/>
      <c r="H26" s="37"/>
      <c r="I26" s="38"/>
      <c r="J26" s="39"/>
      <c r="K26" s="37"/>
      <c r="L26" s="38"/>
      <c r="M26" s="39"/>
      <c r="N26" s="40"/>
      <c r="O26" s="38"/>
      <c r="P26" s="41"/>
      <c r="Q26" s="37"/>
      <c r="R26" s="38"/>
      <c r="S26" s="39"/>
      <c r="T26" s="37"/>
      <c r="U26" s="38"/>
      <c r="V26" s="39"/>
      <c r="W26" s="37"/>
      <c r="X26" s="38"/>
      <c r="Y26" s="39"/>
      <c r="Z26" s="37"/>
      <c r="AA26" s="38"/>
      <c r="AB26" s="39"/>
      <c r="AC26" s="42" t="str">
        <f aca="false">IF(D26="","",IF(COUNTIF(E26:AB26, E26)=COUNTA(E26:AB26),1,0))</f>
        <v/>
      </c>
      <c r="AD26" s="43" t="str">
        <f aca="false">IF(D26="","",IF(COUNTIF(E26:AB26, D26)=0,1,0))</f>
        <v/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customFormat="false" ht="15.75" hidden="false" customHeight="true" outlineLevel="0" collapsed="false">
      <c r="A27" s="17"/>
      <c r="B27" s="17"/>
      <c r="C27" s="36" t="n">
        <v>15</v>
      </c>
      <c r="D27" s="44"/>
      <c r="E27" s="45"/>
      <c r="F27" s="46"/>
      <c r="G27" s="47"/>
      <c r="H27" s="45"/>
      <c r="I27" s="46"/>
      <c r="J27" s="47"/>
      <c r="K27" s="45"/>
      <c r="L27" s="46"/>
      <c r="M27" s="47"/>
      <c r="N27" s="45"/>
      <c r="O27" s="46"/>
      <c r="P27" s="47"/>
      <c r="Q27" s="45"/>
      <c r="R27" s="46"/>
      <c r="S27" s="47"/>
      <c r="T27" s="45"/>
      <c r="U27" s="46"/>
      <c r="V27" s="47"/>
      <c r="W27" s="45"/>
      <c r="X27" s="46"/>
      <c r="Y27" s="47"/>
      <c r="Z27" s="45"/>
      <c r="AA27" s="46"/>
      <c r="AB27" s="47"/>
      <c r="AC27" s="42" t="str">
        <f aca="false">IF(D27="","",IF(COUNTIF(E27:AB27, E27)=COUNTA(E27:AB27),1,0))</f>
        <v/>
      </c>
      <c r="AD27" s="43" t="str">
        <f aca="false">IF(D27="","",IF(COUNTIF(E27:AB27, D27)=0,1,0))</f>
        <v/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customFormat="false" ht="15.75" hidden="false" customHeight="true" outlineLevel="0" collapsed="false">
      <c r="A28" s="17"/>
      <c r="B28" s="17"/>
      <c r="C28" s="36" t="n">
        <v>16</v>
      </c>
      <c r="D28" s="50"/>
      <c r="E28" s="37"/>
      <c r="F28" s="38"/>
      <c r="G28" s="39"/>
      <c r="H28" s="37"/>
      <c r="I28" s="38"/>
      <c r="J28" s="39"/>
      <c r="K28" s="37"/>
      <c r="L28" s="38"/>
      <c r="M28" s="39"/>
      <c r="N28" s="40"/>
      <c r="O28" s="38"/>
      <c r="P28" s="41"/>
      <c r="Q28" s="37"/>
      <c r="R28" s="38"/>
      <c r="S28" s="39"/>
      <c r="T28" s="37"/>
      <c r="U28" s="38"/>
      <c r="V28" s="39"/>
      <c r="W28" s="37"/>
      <c r="X28" s="38"/>
      <c r="Y28" s="39"/>
      <c r="Z28" s="37"/>
      <c r="AA28" s="38"/>
      <c r="AB28" s="39"/>
      <c r="AC28" s="42" t="str">
        <f aca="false">IF(D28="","",IF(COUNTIF(E28:AB28, E28)=COUNTA(E28:AB28),1,0))</f>
        <v/>
      </c>
      <c r="AD28" s="43" t="str">
        <f aca="false">IF(D28="","",IF(COUNTIF(E28:AB28, D28)=0,1,0))</f>
        <v/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customFormat="false" ht="15.75" hidden="false" customHeight="true" outlineLevel="0" collapsed="false">
      <c r="A29" s="17"/>
      <c r="B29" s="17"/>
      <c r="C29" s="36" t="n">
        <v>17</v>
      </c>
      <c r="D29" s="50"/>
      <c r="E29" s="37"/>
      <c r="F29" s="38"/>
      <c r="G29" s="39"/>
      <c r="H29" s="37"/>
      <c r="I29" s="38"/>
      <c r="J29" s="39"/>
      <c r="K29" s="37"/>
      <c r="L29" s="38"/>
      <c r="M29" s="39"/>
      <c r="N29" s="40"/>
      <c r="O29" s="38"/>
      <c r="P29" s="41"/>
      <c r="Q29" s="37"/>
      <c r="R29" s="38"/>
      <c r="S29" s="39"/>
      <c r="T29" s="37"/>
      <c r="U29" s="38"/>
      <c r="V29" s="39"/>
      <c r="W29" s="37"/>
      <c r="X29" s="38"/>
      <c r="Y29" s="39"/>
      <c r="Z29" s="37"/>
      <c r="AA29" s="38"/>
      <c r="AB29" s="39"/>
      <c r="AC29" s="42" t="str">
        <f aca="false">IF(D29="","",IF(COUNTIF(E29:AB29, E29)=COUNTA(E29:AB29),1,0))</f>
        <v/>
      </c>
      <c r="AD29" s="43" t="str">
        <f aca="false">IF(D29="","",IF(COUNTIF(E29:AB29, D29)=0,1,0))</f>
        <v/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customFormat="false" ht="15.75" hidden="false" customHeight="true" outlineLevel="0" collapsed="false">
      <c r="A30" s="17"/>
      <c r="B30" s="17"/>
      <c r="C30" s="36" t="n">
        <v>18</v>
      </c>
      <c r="D30" s="44"/>
      <c r="E30" s="45"/>
      <c r="F30" s="46"/>
      <c r="G30" s="47"/>
      <c r="H30" s="45"/>
      <c r="I30" s="46"/>
      <c r="J30" s="47"/>
      <c r="K30" s="45"/>
      <c r="L30" s="46"/>
      <c r="M30" s="47"/>
      <c r="N30" s="48"/>
      <c r="O30" s="46"/>
      <c r="P30" s="49"/>
      <c r="Q30" s="45"/>
      <c r="R30" s="46"/>
      <c r="S30" s="47"/>
      <c r="T30" s="45"/>
      <c r="U30" s="46"/>
      <c r="V30" s="47"/>
      <c r="W30" s="45"/>
      <c r="X30" s="46"/>
      <c r="Y30" s="47"/>
      <c r="Z30" s="45"/>
      <c r="AA30" s="46"/>
      <c r="AB30" s="47"/>
      <c r="AC30" s="42" t="str">
        <f aca="false">IF(D30="","",IF(COUNTIF(E30:AB30, E30)=COUNTA(E30:AB30),1,0))</f>
        <v/>
      </c>
      <c r="AD30" s="43" t="str">
        <f aca="false">IF(D30="","",IF(COUNTIF(E30:AB30, D30)=0,1,0))</f>
        <v/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customFormat="false" ht="15.75" hidden="false" customHeight="true" outlineLevel="0" collapsed="false">
      <c r="A31" s="17"/>
      <c r="B31" s="17"/>
      <c r="C31" s="36" t="n">
        <v>19</v>
      </c>
      <c r="D31" s="50"/>
      <c r="E31" s="37"/>
      <c r="F31" s="38"/>
      <c r="G31" s="39"/>
      <c r="H31" s="37"/>
      <c r="I31" s="38"/>
      <c r="J31" s="39"/>
      <c r="K31" s="37"/>
      <c r="L31" s="38"/>
      <c r="M31" s="39"/>
      <c r="N31" s="40"/>
      <c r="O31" s="38"/>
      <c r="P31" s="41"/>
      <c r="Q31" s="37"/>
      <c r="R31" s="38"/>
      <c r="S31" s="39"/>
      <c r="T31" s="37"/>
      <c r="U31" s="38"/>
      <c r="V31" s="39"/>
      <c r="W31" s="37"/>
      <c r="X31" s="38"/>
      <c r="Y31" s="39"/>
      <c r="Z31" s="37"/>
      <c r="AA31" s="38"/>
      <c r="AB31" s="39"/>
      <c r="AC31" s="42" t="str">
        <f aca="false">IF(D31="","",IF(COUNTIF(E31:AB31, E31)=COUNTA(E31:AB31),1,0))</f>
        <v/>
      </c>
      <c r="AD31" s="43" t="str">
        <f aca="false">IF(D31="","",IF(COUNTIF(E31:AB31, D31)=0,1,0))</f>
        <v/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customFormat="false" ht="15.75" hidden="false" customHeight="true" outlineLevel="0" collapsed="false">
      <c r="A32" s="17"/>
      <c r="B32" s="17"/>
      <c r="C32" s="36" t="n">
        <v>20</v>
      </c>
      <c r="D32" s="50"/>
      <c r="E32" s="37"/>
      <c r="F32" s="38"/>
      <c r="G32" s="39"/>
      <c r="H32" s="37"/>
      <c r="I32" s="38"/>
      <c r="J32" s="39"/>
      <c r="K32" s="37"/>
      <c r="L32" s="38"/>
      <c r="M32" s="39"/>
      <c r="N32" s="40"/>
      <c r="O32" s="38"/>
      <c r="P32" s="41"/>
      <c r="Q32" s="37"/>
      <c r="R32" s="46"/>
      <c r="S32" s="39"/>
      <c r="T32" s="37"/>
      <c r="U32" s="38"/>
      <c r="V32" s="39"/>
      <c r="W32" s="37"/>
      <c r="X32" s="38"/>
      <c r="Y32" s="39"/>
      <c r="Z32" s="37"/>
      <c r="AA32" s="38"/>
      <c r="AB32" s="39"/>
      <c r="AC32" s="42" t="str">
        <f aca="false">IF(D32="","",IF(COUNTIF(E32:AB32, E32)=COUNTA(E32:AB32),1,0))</f>
        <v/>
      </c>
      <c r="AD32" s="43" t="str">
        <f aca="false">IF(D32="","",IF(COUNTIF(E32:AB32, D32)=0,1,0))</f>
        <v/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customFormat="false" ht="15.75" hidden="false" customHeight="true" outlineLevel="0" collapsed="false">
      <c r="A33" s="17"/>
      <c r="B33" s="17"/>
      <c r="C33" s="36" t="n">
        <v>21</v>
      </c>
      <c r="D33" s="50"/>
      <c r="E33" s="37"/>
      <c r="F33" s="38"/>
      <c r="G33" s="39"/>
      <c r="H33" s="37"/>
      <c r="I33" s="38"/>
      <c r="J33" s="39"/>
      <c r="K33" s="37"/>
      <c r="L33" s="38"/>
      <c r="M33" s="39"/>
      <c r="N33" s="40"/>
      <c r="O33" s="38"/>
      <c r="P33" s="41"/>
      <c r="Q33" s="37"/>
      <c r="R33" s="38"/>
      <c r="S33" s="39"/>
      <c r="T33" s="37"/>
      <c r="U33" s="38"/>
      <c r="V33" s="39"/>
      <c r="W33" s="37"/>
      <c r="X33" s="38"/>
      <c r="Y33" s="39"/>
      <c r="Z33" s="37"/>
      <c r="AA33" s="38"/>
      <c r="AB33" s="39"/>
      <c r="AC33" s="42" t="str">
        <f aca="false">IF(D33="","",IF(COUNTIF(E33:AB33, E33)=COUNTA(E33:AB33),1,0))</f>
        <v/>
      </c>
      <c r="AD33" s="43" t="str">
        <f aca="false">IF(D33="","",IF(COUNTIF(E33:AB33, D33)=0,1,0))</f>
        <v/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customFormat="false" ht="15.75" hidden="false" customHeight="true" outlineLevel="0" collapsed="false">
      <c r="A34" s="17"/>
      <c r="B34" s="17"/>
      <c r="C34" s="36" t="n">
        <v>22</v>
      </c>
      <c r="D34" s="44"/>
      <c r="E34" s="45"/>
      <c r="F34" s="46"/>
      <c r="G34" s="47"/>
      <c r="H34" s="45"/>
      <c r="I34" s="46"/>
      <c r="J34" s="47"/>
      <c r="K34" s="45"/>
      <c r="L34" s="46"/>
      <c r="M34" s="47"/>
      <c r="N34" s="48"/>
      <c r="O34" s="46"/>
      <c r="P34" s="49"/>
      <c r="Q34" s="45"/>
      <c r="R34" s="46"/>
      <c r="S34" s="47"/>
      <c r="T34" s="45"/>
      <c r="U34" s="46"/>
      <c r="V34" s="47"/>
      <c r="W34" s="45"/>
      <c r="X34" s="46"/>
      <c r="Y34" s="47"/>
      <c r="Z34" s="45"/>
      <c r="AA34" s="46"/>
      <c r="AB34" s="47"/>
      <c r="AC34" s="42" t="str">
        <f aca="false">IF(D34="","",IF(COUNTIF(E34:AB34, E34)=COUNTA(E34:AB34),1,0))</f>
        <v/>
      </c>
      <c r="AD34" s="43" t="str">
        <f aca="false">IF(D34="","",IF(COUNTIF(E34:AB34, D34)=0,1,0))</f>
        <v/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customFormat="false" ht="15.75" hidden="false" customHeight="true" outlineLevel="0" collapsed="false">
      <c r="A35" s="17"/>
      <c r="B35" s="17"/>
      <c r="C35" s="36" t="n">
        <v>23</v>
      </c>
      <c r="D35" s="50"/>
      <c r="E35" s="37"/>
      <c r="F35" s="38"/>
      <c r="G35" s="39"/>
      <c r="H35" s="37"/>
      <c r="I35" s="38"/>
      <c r="J35" s="39"/>
      <c r="K35" s="37"/>
      <c r="L35" s="38"/>
      <c r="M35" s="39"/>
      <c r="N35" s="40"/>
      <c r="O35" s="38"/>
      <c r="P35" s="41"/>
      <c r="Q35" s="37"/>
      <c r="R35" s="38"/>
      <c r="S35" s="39"/>
      <c r="T35" s="37"/>
      <c r="U35" s="38"/>
      <c r="V35" s="39"/>
      <c r="W35" s="37"/>
      <c r="X35" s="38"/>
      <c r="Y35" s="39"/>
      <c r="Z35" s="37"/>
      <c r="AA35" s="38"/>
      <c r="AB35" s="39"/>
      <c r="AC35" s="42" t="str">
        <f aca="false">IF(D35="","",IF(COUNTIF(E35:AB35, E35)=COUNTA(E35:AB35),1,0))</f>
        <v/>
      </c>
      <c r="AD35" s="43" t="str">
        <f aca="false">IF(D35="","",IF(COUNTIF(E35:AB35, D35)=0,1,0))</f>
        <v/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customFormat="false" ht="15.75" hidden="false" customHeight="true" outlineLevel="0" collapsed="false">
      <c r="A36" s="17"/>
      <c r="B36" s="17"/>
      <c r="C36" s="36" t="n">
        <v>24</v>
      </c>
      <c r="D36" s="50"/>
      <c r="E36" s="37"/>
      <c r="F36" s="38"/>
      <c r="G36" s="39"/>
      <c r="H36" s="37"/>
      <c r="I36" s="38"/>
      <c r="J36" s="39"/>
      <c r="K36" s="37"/>
      <c r="L36" s="38"/>
      <c r="M36" s="39"/>
      <c r="N36" s="40"/>
      <c r="O36" s="38"/>
      <c r="P36" s="41"/>
      <c r="Q36" s="37"/>
      <c r="R36" s="38"/>
      <c r="S36" s="39"/>
      <c r="T36" s="37"/>
      <c r="U36" s="38"/>
      <c r="V36" s="39"/>
      <c r="W36" s="37"/>
      <c r="X36" s="38"/>
      <c r="Y36" s="39"/>
      <c r="Z36" s="37"/>
      <c r="AA36" s="38"/>
      <c r="AB36" s="39"/>
      <c r="AC36" s="42" t="str">
        <f aca="false">IF(D36="","",IF(COUNTIF(E36:AB36, E36)=COUNTA(E36:AB36),1,0))</f>
        <v/>
      </c>
      <c r="AD36" s="43" t="str">
        <f aca="false">IF(D36="","",IF(COUNTIF(E36:AB36, D36)=0,1,0))</f>
        <v/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customFormat="false" ht="15.75" hidden="false" customHeight="true" outlineLevel="0" collapsed="false">
      <c r="A37" s="17"/>
      <c r="B37" s="17"/>
      <c r="C37" s="36" t="n">
        <v>25</v>
      </c>
      <c r="D37" s="50"/>
      <c r="E37" s="37"/>
      <c r="F37" s="38"/>
      <c r="G37" s="39"/>
      <c r="H37" s="37"/>
      <c r="I37" s="38"/>
      <c r="J37" s="39"/>
      <c r="K37" s="37"/>
      <c r="L37" s="38"/>
      <c r="M37" s="39"/>
      <c r="N37" s="40"/>
      <c r="O37" s="38"/>
      <c r="P37" s="41"/>
      <c r="Q37" s="37"/>
      <c r="R37" s="38"/>
      <c r="S37" s="39"/>
      <c r="T37" s="37"/>
      <c r="U37" s="38"/>
      <c r="V37" s="39"/>
      <c r="W37" s="37"/>
      <c r="X37" s="38"/>
      <c r="Y37" s="39"/>
      <c r="Z37" s="37"/>
      <c r="AA37" s="38"/>
      <c r="AB37" s="39"/>
      <c r="AC37" s="42" t="str">
        <f aca="false">IF(D37="","",IF(COUNTIF(E37:AB37, E37)=COUNTA(E37:AB37),1,0))</f>
        <v/>
      </c>
      <c r="AD37" s="43" t="str">
        <f aca="false">IF(D37="","",IF(COUNTIF(E37:AB37, D37)=0,1,0))</f>
        <v/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customFormat="false" ht="15.75" hidden="false" customHeight="true" outlineLevel="0" collapsed="false">
      <c r="A38" s="17"/>
      <c r="B38" s="17"/>
      <c r="C38" s="36" t="n">
        <v>26</v>
      </c>
      <c r="D38" s="44"/>
      <c r="E38" s="45"/>
      <c r="F38" s="46"/>
      <c r="G38" s="47"/>
      <c r="H38" s="45"/>
      <c r="I38" s="46"/>
      <c r="J38" s="47"/>
      <c r="K38" s="45"/>
      <c r="L38" s="46"/>
      <c r="M38" s="47"/>
      <c r="N38" s="45"/>
      <c r="O38" s="46"/>
      <c r="P38" s="47"/>
      <c r="Q38" s="45"/>
      <c r="R38" s="46"/>
      <c r="S38" s="47"/>
      <c r="T38" s="45"/>
      <c r="U38" s="46"/>
      <c r="V38" s="47"/>
      <c r="W38" s="45"/>
      <c r="X38" s="46"/>
      <c r="Y38" s="47"/>
      <c r="Z38" s="45"/>
      <c r="AA38" s="46"/>
      <c r="AB38" s="47"/>
      <c r="AC38" s="42" t="str">
        <f aca="false">IF(D38="","",IF(COUNTIF(E38:AB38, E38)=COUNTA(E38:AB38),1,0))</f>
        <v/>
      </c>
      <c r="AD38" s="43" t="str">
        <f aca="false">IF(D38="","",IF(COUNTIF(E38:AB38, D38)=0,1,0))</f>
        <v/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customFormat="false" ht="15.75" hidden="false" customHeight="true" outlineLevel="0" collapsed="false">
      <c r="A39" s="17"/>
      <c r="B39" s="17"/>
      <c r="C39" s="36" t="n">
        <v>27</v>
      </c>
      <c r="D39" s="50"/>
      <c r="E39" s="37"/>
      <c r="F39" s="38"/>
      <c r="G39" s="39"/>
      <c r="H39" s="37"/>
      <c r="I39" s="38"/>
      <c r="J39" s="39"/>
      <c r="K39" s="37"/>
      <c r="L39" s="38"/>
      <c r="M39" s="39"/>
      <c r="N39" s="40"/>
      <c r="O39" s="38"/>
      <c r="P39" s="41"/>
      <c r="Q39" s="37"/>
      <c r="R39" s="38"/>
      <c r="S39" s="39"/>
      <c r="T39" s="37"/>
      <c r="U39" s="38"/>
      <c r="V39" s="39"/>
      <c r="W39" s="37"/>
      <c r="X39" s="38"/>
      <c r="Y39" s="39"/>
      <c r="Z39" s="37"/>
      <c r="AA39" s="38"/>
      <c r="AB39" s="39"/>
      <c r="AC39" s="42" t="str">
        <f aca="false">IF(D39="","",IF(COUNTIF(E39:AB39, E39)=COUNTA(E39:AB39),1,0))</f>
        <v/>
      </c>
      <c r="AD39" s="43" t="str">
        <f aca="false">IF(D39="","",IF(COUNTIF(E39:AB39, D39)=0,1,0))</f>
        <v/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customFormat="false" ht="15.75" hidden="false" customHeight="true" outlineLevel="0" collapsed="false">
      <c r="A40" s="17"/>
      <c r="B40" s="17"/>
      <c r="C40" s="36" t="n">
        <v>28</v>
      </c>
      <c r="D40" s="50"/>
      <c r="E40" s="37"/>
      <c r="F40" s="38"/>
      <c r="G40" s="39"/>
      <c r="H40" s="37"/>
      <c r="I40" s="38"/>
      <c r="J40" s="39"/>
      <c r="K40" s="37"/>
      <c r="L40" s="38"/>
      <c r="M40" s="39"/>
      <c r="N40" s="40"/>
      <c r="O40" s="38"/>
      <c r="P40" s="41"/>
      <c r="Q40" s="37"/>
      <c r="R40" s="38"/>
      <c r="S40" s="39"/>
      <c r="T40" s="37"/>
      <c r="U40" s="38"/>
      <c r="V40" s="39"/>
      <c r="W40" s="37"/>
      <c r="X40" s="38"/>
      <c r="Y40" s="39"/>
      <c r="Z40" s="37"/>
      <c r="AA40" s="38"/>
      <c r="AB40" s="39"/>
      <c r="AC40" s="42" t="str">
        <f aca="false">IF(D40="","",IF(COUNTIF(E40:AB40, E40)=COUNTA(E40:AB40),1,0))</f>
        <v/>
      </c>
      <c r="AD40" s="43" t="str">
        <f aca="false">IF(D40="","",IF(COUNTIF(E40:AB40, D40)=0,1,0))</f>
        <v/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customFormat="false" ht="15.75" hidden="false" customHeight="true" outlineLevel="0" collapsed="false">
      <c r="A41" s="17"/>
      <c r="B41" s="17"/>
      <c r="C41" s="36" t="n">
        <v>29</v>
      </c>
      <c r="D41" s="44"/>
      <c r="E41" s="45"/>
      <c r="F41" s="46"/>
      <c r="G41" s="47"/>
      <c r="H41" s="45"/>
      <c r="I41" s="46"/>
      <c r="J41" s="47"/>
      <c r="K41" s="45"/>
      <c r="L41" s="46"/>
      <c r="M41" s="47"/>
      <c r="N41" s="48"/>
      <c r="O41" s="46"/>
      <c r="P41" s="49"/>
      <c r="Q41" s="45"/>
      <c r="R41" s="46"/>
      <c r="S41" s="47"/>
      <c r="T41" s="45"/>
      <c r="U41" s="46"/>
      <c r="V41" s="47"/>
      <c r="W41" s="45"/>
      <c r="X41" s="46"/>
      <c r="Y41" s="47"/>
      <c r="Z41" s="45"/>
      <c r="AA41" s="46"/>
      <c r="AB41" s="47"/>
      <c r="AC41" s="42" t="str">
        <f aca="false">IF(D41="","",IF(COUNTIF(E41:AB41, E41)=COUNTA(E41:AB41),1,0))</f>
        <v/>
      </c>
      <c r="AD41" s="43" t="str">
        <f aca="false">IF(D41="","",IF(COUNTIF(E41:AB41, D41)=0,1,0))</f>
        <v/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customFormat="false" ht="15.75" hidden="false" customHeight="true" outlineLevel="0" collapsed="false">
      <c r="A42" s="17"/>
      <c r="B42" s="17"/>
      <c r="C42" s="36" t="n">
        <v>30</v>
      </c>
      <c r="D42" s="50"/>
      <c r="E42" s="37"/>
      <c r="F42" s="38"/>
      <c r="G42" s="39"/>
      <c r="H42" s="37"/>
      <c r="I42" s="38"/>
      <c r="J42" s="39"/>
      <c r="K42" s="37"/>
      <c r="L42" s="38"/>
      <c r="M42" s="39"/>
      <c r="N42" s="40"/>
      <c r="O42" s="38"/>
      <c r="P42" s="41"/>
      <c r="Q42" s="37"/>
      <c r="R42" s="38"/>
      <c r="S42" s="39"/>
      <c r="T42" s="37"/>
      <c r="U42" s="38"/>
      <c r="V42" s="39"/>
      <c r="W42" s="37"/>
      <c r="X42" s="38"/>
      <c r="Y42" s="39"/>
      <c r="Z42" s="37"/>
      <c r="AA42" s="38"/>
      <c r="AB42" s="39"/>
      <c r="AC42" s="42" t="str">
        <f aca="false">IF(D42="","",IF(COUNTIF(E42:AB42, E42)=COUNTA(E42:AB42),1,0))</f>
        <v/>
      </c>
      <c r="AD42" s="43" t="str">
        <f aca="false">IF(D42="","",IF(COUNTIF(E42:AB42, D42)=0,1,0))</f>
        <v/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customFormat="false" ht="16.5" hidden="false" customHeight="true" outlineLevel="0" collapsed="false">
      <c r="A43" s="2"/>
      <c r="B43" s="2"/>
      <c r="C43" s="51" t="s">
        <v>14</v>
      </c>
      <c r="D43" s="52" t="n">
        <f aca="false">COUNTA(D13:D42)</f>
        <v>0</v>
      </c>
      <c r="E43" s="53"/>
      <c r="F43" s="54"/>
      <c r="G43" s="55"/>
      <c r="H43" s="53"/>
      <c r="I43" s="54"/>
      <c r="J43" s="55"/>
      <c r="K43" s="53"/>
      <c r="L43" s="54"/>
      <c r="M43" s="55"/>
      <c r="N43" s="56"/>
      <c r="O43" s="54"/>
      <c r="P43" s="57"/>
      <c r="Q43" s="53"/>
      <c r="R43" s="54"/>
      <c r="S43" s="55"/>
      <c r="T43" s="53"/>
      <c r="U43" s="54"/>
      <c r="V43" s="55"/>
      <c r="W43" s="53"/>
      <c r="X43" s="54"/>
      <c r="Y43" s="55"/>
      <c r="Z43" s="53"/>
      <c r="AA43" s="54"/>
      <c r="AB43" s="55"/>
      <c r="AC43" s="42" t="str">
        <f aca="false">IF(E43="","",IF(#REF!="","",IF(#REF!,"Y","N")))</f>
        <v/>
      </c>
      <c r="AD43" s="42" t="str">
        <f aca="false">IF(F43="","",IF(#REF!="","",IF(#REF!,"Y","N")))</f>
        <v/>
      </c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customFormat="false" ht="21.75" hidden="false" customHeight="true" outlineLevel="0" collapsed="false">
      <c r="A44" s="2"/>
      <c r="B44" s="2"/>
      <c r="C44" s="58"/>
      <c r="D44" s="59" t="s">
        <v>32</v>
      </c>
      <c r="E44" s="60"/>
      <c r="F44" s="61" t="e">
        <f aca="false">Calculation!F44</f>
        <v>#DIV/0!</v>
      </c>
      <c r="G44" s="62"/>
      <c r="H44" s="63"/>
      <c r="I44" s="61" t="e">
        <f aca="false">Calculation!I44</f>
        <v>#DIV/0!</v>
      </c>
      <c r="J44" s="62"/>
      <c r="K44" s="63"/>
      <c r="L44" s="61" t="e">
        <f aca="false">Calculation!L44</f>
        <v>#DIV/0!</v>
      </c>
      <c r="M44" s="62"/>
      <c r="N44" s="63"/>
      <c r="O44" s="61" t="e">
        <f aca="false">Calculation!O44</f>
        <v>#DIV/0!</v>
      </c>
      <c r="P44" s="62"/>
      <c r="Q44" s="63"/>
      <c r="R44" s="61" t="e">
        <f aca="false">Calculation!R44</f>
        <v>#DIV/0!</v>
      </c>
      <c r="S44" s="62"/>
      <c r="T44" s="63"/>
      <c r="U44" s="61" t="e">
        <f aca="false">Calculation!U44</f>
        <v>#DIV/0!</v>
      </c>
      <c r="V44" s="62"/>
      <c r="W44" s="63"/>
      <c r="X44" s="61" t="e">
        <f aca="false">Calculation!X44</f>
        <v>#DIV/0!</v>
      </c>
      <c r="Y44" s="62"/>
      <c r="Z44" s="63"/>
      <c r="AA44" s="61" t="e">
        <f aca="false">Calculation!AA44</f>
        <v>#DIV/0!</v>
      </c>
      <c r="AB44" s="62"/>
      <c r="AC44" s="64" t="n">
        <f aca="false">SUM(AC13:AC42)</f>
        <v>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customFormat="false" ht="21.75" hidden="false" customHeight="true" outlineLevel="0" collapsed="false">
      <c r="A45" s="65"/>
      <c r="B45" s="65"/>
      <c r="C45" s="66"/>
      <c r="D45" s="67" t="s">
        <v>33</v>
      </c>
      <c r="E45" s="68"/>
      <c r="F45" s="69" t="n">
        <f aca="false">Calculation!F45</f>
        <v>0</v>
      </c>
      <c r="G45" s="70"/>
      <c r="H45" s="65"/>
      <c r="I45" s="69" t="n">
        <f aca="false">Calculation!I45</f>
        <v>0</v>
      </c>
      <c r="J45" s="70"/>
      <c r="K45" s="65"/>
      <c r="L45" s="69" t="n">
        <f aca="false">Calculation!L45</f>
        <v>0</v>
      </c>
      <c r="M45" s="70"/>
      <c r="N45" s="65"/>
      <c r="O45" s="69" t="n">
        <f aca="false">Calculation!O45</f>
        <v>0</v>
      </c>
      <c r="P45" s="70"/>
      <c r="Q45" s="65"/>
      <c r="R45" s="69" t="n">
        <f aca="false">Calculation!R45</f>
        <v>0</v>
      </c>
      <c r="S45" s="70"/>
      <c r="T45" s="65"/>
      <c r="U45" s="69" t="n">
        <f aca="false">Calculation!U45</f>
        <v>0</v>
      </c>
      <c r="V45" s="70"/>
      <c r="W45" s="65"/>
      <c r="X45" s="69" t="n">
        <f aca="false">Calculation!X45</f>
        <v>0</v>
      </c>
      <c r="Y45" s="70"/>
      <c r="Z45" s="65"/>
      <c r="AA45" s="69" t="n">
        <f aca="false">Calculation!AA45</f>
        <v>0</v>
      </c>
      <c r="AB45" s="70"/>
      <c r="AC45" s="65" t="e">
        <f aca="false">AC44/D43</f>
        <v>#DIV/0!</v>
      </c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</row>
    <row r="46" customFormat="false" ht="7.5" hidden="false" customHeight="true" outlineLevel="0" collapsed="false">
      <c r="A46" s="2"/>
      <c r="B46" s="2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customFormat="false" ht="21.75" hidden="false" customHeight="true" outlineLevel="0" collapsed="false">
      <c r="A47" s="2"/>
      <c r="B47" s="2"/>
      <c r="C47" s="3"/>
      <c r="D47" s="4"/>
      <c r="E47" s="2"/>
      <c r="F47" s="2"/>
      <c r="G47" s="2"/>
      <c r="H47" s="2"/>
      <c r="I47" s="2"/>
      <c r="J47" s="2"/>
      <c r="K47" s="2"/>
      <c r="L47" s="71" t="s">
        <v>34</v>
      </c>
      <c r="M47" s="72" t="str">
        <f aca="false">IF((COUNTA(AC13:AC43)-COUNTBLANK(AC13:AC43))&lt;=0,"",COUNTIF(AC13:AC43,"Y")/(COUNTA(AC13:AC43)-COUNTBLANK(AC13:AC43)))</f>
        <v/>
      </c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customFormat="false" ht="21.75" hidden="false" customHeight="true" outlineLevel="0" collapsed="false">
      <c r="A48" s="2"/>
      <c r="B48" s="2"/>
      <c r="C48" s="3"/>
      <c r="D48" s="4"/>
      <c r="E48" s="2"/>
      <c r="F48" s="2"/>
      <c r="G48" s="2"/>
      <c r="H48" s="2"/>
      <c r="I48" s="2"/>
      <c r="J48" s="2"/>
      <c r="K48" s="65"/>
      <c r="L48" s="73" t="s">
        <v>35</v>
      </c>
      <c r="M48" s="72" t="str">
        <f aca="false">IF((COUNTA(AC13:AC42)-COUNTBLANK(AD13:AD42))&lt;=0,"",COUNTIF(AD13:AD42,"Y")/(COUNTA(AC13:AC42)-COUNTBLANK(AD13:AD42)))</f>
        <v/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customFormat="false" ht="7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74"/>
      <c r="J49" s="74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customFormat="false" ht="18" hidden="false" customHeight="true" outlineLevel="0" collapsed="false">
      <c r="A50" s="2"/>
      <c r="B50" s="2"/>
      <c r="C50" s="71" t="s">
        <v>36</v>
      </c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customFormat="false" ht="15.75" hidden="false" customHeight="true" outlineLevel="0" collapsed="false">
      <c r="A51" s="2"/>
      <c r="B51" s="2"/>
      <c r="C51" s="75" t="s">
        <v>37</v>
      </c>
      <c r="D51" s="76" t="s">
        <v>38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customFormat="false" ht="15.75" hidden="false" customHeight="true" outlineLevel="0" collapsed="false">
      <c r="A52" s="2"/>
      <c r="B52" s="2"/>
      <c r="C52" s="77" t="s">
        <v>39</v>
      </c>
      <c r="D52" s="76" t="s">
        <v>40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customFormat="false" ht="15.75" hidden="false" customHeight="true" outlineLevel="0" collapsed="false">
      <c r="A53" s="2"/>
      <c r="B53" s="2"/>
      <c r="C53" s="75" t="s">
        <v>41</v>
      </c>
      <c r="D53" s="76" t="s">
        <v>42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customFormat="false" ht="15.75" hidden="false" customHeight="true" outlineLevel="0" collapsed="false">
      <c r="A54" s="2"/>
      <c r="B54" s="2"/>
      <c r="C54" s="77" t="s">
        <v>43</v>
      </c>
      <c r="D54" s="76" t="s">
        <v>44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customFormat="false" ht="15.75" hidden="false" customHeight="true" outlineLevel="0" collapsed="false">
      <c r="A55" s="2"/>
      <c r="B55" s="2"/>
      <c r="C55" s="77" t="s">
        <v>45</v>
      </c>
      <c r="D55" s="76" t="s">
        <v>46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2.75" hidden="false" customHeight="true" outlineLevel="0" collapsed="false">
      <c r="A56" s="2"/>
      <c r="B56" s="2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2.75" hidden="false" customHeight="true" outlineLevel="0" collapsed="false">
      <c r="A57" s="2"/>
      <c r="B57" s="2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2.75" hidden="false" customHeight="true" outlineLevel="0" collapsed="false">
      <c r="A58" s="2"/>
      <c r="B58" s="2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2.75" hidden="false" customHeight="true" outlineLevel="0" collapsed="false">
      <c r="A59" s="2"/>
      <c r="B59" s="2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2.75" hidden="false" customHeight="true" outlineLevel="0" collapsed="false">
      <c r="A60" s="2"/>
      <c r="B60" s="2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customFormat="false" ht="12.75" hidden="false" customHeight="true" outlineLevel="0" collapsed="false">
      <c r="A61" s="2"/>
      <c r="B61" s="2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2.75" hidden="false" customHeight="true" outlineLevel="0" collapsed="false">
      <c r="A62" s="2"/>
      <c r="B62" s="2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2.75" hidden="false" customHeight="true" outlineLevel="0" collapsed="false">
      <c r="A63" s="2"/>
      <c r="B63" s="2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2.75" hidden="false" customHeight="true" outlineLevel="0" collapsed="false">
      <c r="A64" s="2"/>
      <c r="B64" s="2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2.75" hidden="false" customHeight="true" outlineLevel="0" collapsed="false">
      <c r="A65" s="2"/>
      <c r="B65" s="2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2.75" hidden="false" customHeight="true" outlineLevel="0" collapsed="false">
      <c r="A66" s="2"/>
      <c r="B66" s="2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2.75" hidden="false" customHeight="true" outlineLevel="0" collapsed="false">
      <c r="A67" s="2"/>
      <c r="B67" s="2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2.75" hidden="false" customHeight="true" outlineLevel="0" collapsed="false">
      <c r="A68" s="2"/>
      <c r="B68" s="2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2.75" hidden="false" customHeight="true" outlineLevel="0" collapsed="false">
      <c r="A69" s="2"/>
      <c r="B69" s="2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2.75" hidden="false" customHeight="true" outlineLevel="0" collapsed="false">
      <c r="A70" s="2"/>
      <c r="B70" s="2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2.75" hidden="false" customHeight="true" outlineLevel="0" collapsed="false">
      <c r="A71" s="2"/>
      <c r="B71" s="2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2.75" hidden="false" customHeight="true" outlineLevel="0" collapsed="false">
      <c r="A72" s="2"/>
      <c r="B72" s="2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2.75" hidden="false" customHeight="true" outlineLevel="0" collapsed="false">
      <c r="A73" s="2"/>
      <c r="B73" s="2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2.75" hidden="false" customHeight="true" outlineLevel="0" collapsed="false">
      <c r="A74" s="2"/>
      <c r="B74" s="2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2.75" hidden="false" customHeight="true" outlineLevel="0" collapsed="false">
      <c r="A75" s="2"/>
      <c r="B75" s="2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2.75" hidden="false" customHeight="true" outlineLevel="0" collapsed="false">
      <c r="A76" s="2"/>
      <c r="B76" s="2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2.75" hidden="false" customHeight="true" outlineLevel="0" collapsed="false">
      <c r="A77" s="2"/>
      <c r="B77" s="2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2.75" hidden="false" customHeight="true" outlineLevel="0" collapsed="false">
      <c r="A78" s="2"/>
      <c r="B78" s="2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2.75" hidden="false" customHeight="true" outlineLevel="0" collapsed="false">
      <c r="A79" s="2"/>
      <c r="B79" s="2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2.75" hidden="false" customHeight="true" outlineLevel="0" collapsed="false">
      <c r="A80" s="2"/>
      <c r="B80" s="2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2.75" hidden="false" customHeight="true" outlineLevel="0" collapsed="false">
      <c r="A81" s="2"/>
      <c r="B81" s="2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2.75" hidden="false" customHeight="true" outlineLevel="0" collapsed="false">
      <c r="A82" s="2"/>
      <c r="B82" s="2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2.75" hidden="false" customHeight="true" outlineLevel="0" collapsed="false">
      <c r="A83" s="2"/>
      <c r="B83" s="2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2.75" hidden="false" customHeight="true" outlineLevel="0" collapsed="false">
      <c r="A84" s="2"/>
      <c r="B84" s="2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2.75" hidden="false" customHeight="true" outlineLevel="0" collapsed="false">
      <c r="A85" s="2"/>
      <c r="B85" s="2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2.75" hidden="false" customHeight="true" outlineLevel="0" collapsed="false">
      <c r="A86" s="2"/>
      <c r="B86" s="2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2.75" hidden="false" customHeight="true" outlineLevel="0" collapsed="false">
      <c r="A87" s="2"/>
      <c r="B87" s="2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2.75" hidden="false" customHeight="true" outlineLevel="0" collapsed="false">
      <c r="A88" s="2"/>
      <c r="B88" s="2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2.75" hidden="false" customHeight="true" outlineLevel="0" collapsed="false">
      <c r="A89" s="2"/>
      <c r="B89" s="2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2.75" hidden="false" customHeight="true" outlineLevel="0" collapsed="false">
      <c r="A90" s="2"/>
      <c r="B90" s="2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2.75" hidden="false" customHeight="true" outlineLevel="0" collapsed="false">
      <c r="A91" s="2"/>
      <c r="B91" s="2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2.75" hidden="false" customHeight="true" outlineLevel="0" collapsed="false">
      <c r="A92" s="2"/>
      <c r="B92" s="2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2.75" hidden="false" customHeight="true" outlineLevel="0" collapsed="false">
      <c r="A93" s="2"/>
      <c r="B93" s="2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customFormat="false" ht="12.75" hidden="false" customHeight="true" outlineLevel="0" collapsed="false">
      <c r="A94" s="2"/>
      <c r="B94" s="2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2.75" hidden="false" customHeight="true" outlineLevel="0" collapsed="false">
      <c r="A95" s="2"/>
      <c r="B95" s="2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2.75" hidden="false" customHeight="true" outlineLevel="0" collapsed="false">
      <c r="A96" s="2"/>
      <c r="B96" s="2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2.75" hidden="false" customHeight="true" outlineLevel="0" collapsed="false">
      <c r="A97" s="2"/>
      <c r="B97" s="2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2.75" hidden="false" customHeight="true" outlineLevel="0" collapsed="false">
      <c r="A98" s="2"/>
      <c r="B98" s="2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2.75" hidden="false" customHeight="true" outlineLevel="0" collapsed="false">
      <c r="A99" s="2"/>
      <c r="B99" s="2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2.75" hidden="false" customHeight="true" outlineLevel="0" collapsed="false">
      <c r="A100" s="2"/>
      <c r="B100" s="2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2.75" hidden="false" customHeight="true" outlineLevel="0" collapsed="false">
      <c r="A101" s="2"/>
      <c r="B101" s="2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2.75" hidden="false" customHeight="true" outlineLevel="0" collapsed="false">
      <c r="A102" s="2"/>
      <c r="B102" s="2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2.75" hidden="false" customHeight="true" outlineLevel="0" collapsed="false">
      <c r="A103" s="2"/>
      <c r="B103" s="2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2.75" hidden="false" customHeight="true" outlineLevel="0" collapsed="false">
      <c r="A104" s="2"/>
      <c r="B104" s="2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2.75" hidden="false" customHeight="true" outlineLevel="0" collapsed="false">
      <c r="A105" s="2"/>
      <c r="B105" s="2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2.75" hidden="false" customHeight="true" outlineLevel="0" collapsed="false">
      <c r="A106" s="2"/>
      <c r="B106" s="2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2.75" hidden="false" customHeight="true" outlineLevel="0" collapsed="false">
      <c r="A107" s="2"/>
      <c r="B107" s="2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2.75" hidden="false" customHeight="true" outlineLevel="0" collapsed="false">
      <c r="A108" s="2"/>
      <c r="B108" s="2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2.75" hidden="false" customHeight="true" outlineLevel="0" collapsed="false">
      <c r="A109" s="2"/>
      <c r="B109" s="2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2.75" hidden="false" customHeight="true" outlineLevel="0" collapsed="false">
      <c r="A110" s="2"/>
      <c r="B110" s="2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2.75" hidden="false" customHeight="true" outlineLevel="0" collapsed="false">
      <c r="A111" s="2"/>
      <c r="B111" s="2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2.75" hidden="false" customHeight="true" outlineLevel="0" collapsed="false">
      <c r="A112" s="2"/>
      <c r="B112" s="2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2.75" hidden="false" customHeight="true" outlineLevel="0" collapsed="false">
      <c r="A113" s="2"/>
      <c r="B113" s="2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2.75" hidden="false" customHeight="true" outlineLevel="0" collapsed="false">
      <c r="A114" s="2"/>
      <c r="B114" s="2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2.75" hidden="false" customHeight="true" outlineLevel="0" collapsed="false">
      <c r="A115" s="2"/>
      <c r="B115" s="2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2.75" hidden="false" customHeight="true" outlineLevel="0" collapsed="false">
      <c r="A116" s="2"/>
      <c r="B116" s="2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2.75" hidden="false" customHeight="true" outlineLevel="0" collapsed="false">
      <c r="A117" s="2"/>
      <c r="B117" s="2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2.75" hidden="false" customHeight="true" outlineLevel="0" collapsed="false">
      <c r="A118" s="2"/>
      <c r="B118" s="2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2.75" hidden="false" customHeight="true" outlineLevel="0" collapsed="false">
      <c r="A119" s="2"/>
      <c r="B119" s="2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2.75" hidden="false" customHeight="true" outlineLevel="0" collapsed="false">
      <c r="A120" s="2"/>
      <c r="B120" s="2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2.75" hidden="false" customHeight="true" outlineLevel="0" collapsed="false">
      <c r="A121" s="2"/>
      <c r="B121" s="2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2.75" hidden="false" customHeight="true" outlineLevel="0" collapsed="false">
      <c r="A122" s="2"/>
      <c r="B122" s="2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2.75" hidden="false" customHeight="true" outlineLevel="0" collapsed="false">
      <c r="A123" s="2"/>
      <c r="B123" s="2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2.75" hidden="false" customHeight="true" outlineLevel="0" collapsed="false">
      <c r="A124" s="2"/>
      <c r="B124" s="2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2.75" hidden="false" customHeight="true" outlineLevel="0" collapsed="false">
      <c r="A125" s="2"/>
      <c r="B125" s="2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2.75" hidden="false" customHeight="true" outlineLevel="0" collapsed="false">
      <c r="A126" s="2"/>
      <c r="B126" s="2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2.75" hidden="false" customHeight="true" outlineLevel="0" collapsed="false">
      <c r="A127" s="2"/>
      <c r="B127" s="2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2.75" hidden="false" customHeight="true" outlineLevel="0" collapsed="false">
      <c r="A128" s="2"/>
      <c r="B128" s="2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2.75" hidden="false" customHeight="true" outlineLevel="0" collapsed="false">
      <c r="A129" s="2"/>
      <c r="B129" s="2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2.75" hidden="false" customHeight="true" outlineLevel="0" collapsed="false">
      <c r="A130" s="2"/>
      <c r="B130" s="2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2.75" hidden="false" customHeight="true" outlineLevel="0" collapsed="false">
      <c r="A131" s="2"/>
      <c r="B131" s="2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2.75" hidden="false" customHeight="true" outlineLevel="0" collapsed="false">
      <c r="A132" s="2"/>
      <c r="B132" s="2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customFormat="false" ht="12.75" hidden="false" customHeight="true" outlineLevel="0" collapsed="false">
      <c r="A133" s="2"/>
      <c r="B133" s="2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2.75" hidden="false" customHeight="true" outlineLevel="0" collapsed="false">
      <c r="A134" s="2"/>
      <c r="B134" s="2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2.75" hidden="false" customHeight="true" outlineLevel="0" collapsed="false">
      <c r="A135" s="2"/>
      <c r="B135" s="2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2.75" hidden="false" customHeight="true" outlineLevel="0" collapsed="false">
      <c r="A136" s="2"/>
      <c r="B136" s="2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2.75" hidden="false" customHeight="true" outlineLevel="0" collapsed="false">
      <c r="A137" s="2"/>
      <c r="B137" s="2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2.75" hidden="false" customHeight="true" outlineLevel="0" collapsed="false">
      <c r="A138" s="2"/>
      <c r="B138" s="2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customFormat="false" ht="12.75" hidden="false" customHeight="true" outlineLevel="0" collapsed="false">
      <c r="A139" s="2"/>
      <c r="B139" s="2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2.75" hidden="false" customHeight="true" outlineLevel="0" collapsed="false">
      <c r="A140" s="2"/>
      <c r="B140" s="2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2.75" hidden="false" customHeight="true" outlineLevel="0" collapsed="false">
      <c r="A141" s="2"/>
      <c r="B141" s="2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2.75" hidden="false" customHeight="true" outlineLevel="0" collapsed="false">
      <c r="A142" s="2"/>
      <c r="B142" s="2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2.75" hidden="false" customHeight="true" outlineLevel="0" collapsed="false">
      <c r="A143" s="2"/>
      <c r="B143" s="2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2.75" hidden="false" customHeight="true" outlineLevel="0" collapsed="false">
      <c r="A144" s="2"/>
      <c r="B144" s="2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customFormat="false" ht="12.75" hidden="false" customHeight="true" outlineLevel="0" collapsed="false">
      <c r="A145" s="2"/>
      <c r="B145" s="2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2.75" hidden="false" customHeight="true" outlineLevel="0" collapsed="false">
      <c r="A146" s="2"/>
      <c r="B146" s="2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2.75" hidden="false" customHeight="true" outlineLevel="0" collapsed="false">
      <c r="A147" s="2"/>
      <c r="B147" s="2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12.75" hidden="false" customHeight="true" outlineLevel="0" collapsed="false">
      <c r="A148" s="2"/>
      <c r="B148" s="2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12.75" hidden="false" customHeight="true" outlineLevel="0" collapsed="false">
      <c r="A149" s="2"/>
      <c r="B149" s="2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12.75" hidden="false" customHeight="true" outlineLevel="0" collapsed="false">
      <c r="A150" s="2"/>
      <c r="B150" s="2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customFormat="false" ht="12.75" hidden="false" customHeight="true" outlineLevel="0" collapsed="false">
      <c r="A151" s="2"/>
      <c r="B151" s="2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12.75" hidden="false" customHeight="true" outlineLevel="0" collapsed="false">
      <c r="A152" s="2"/>
      <c r="B152" s="2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12.75" hidden="false" customHeight="true" outlineLevel="0" collapsed="false">
      <c r="A153" s="2"/>
      <c r="B153" s="2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12.75" hidden="false" customHeight="true" outlineLevel="0" collapsed="false">
      <c r="A154" s="2"/>
      <c r="B154" s="2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12.75" hidden="false" customHeight="true" outlineLevel="0" collapsed="false">
      <c r="A155" s="2"/>
      <c r="B155" s="2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12.75" hidden="false" customHeight="true" outlineLevel="0" collapsed="false">
      <c r="A156" s="2"/>
      <c r="B156" s="2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customFormat="false" ht="12.75" hidden="false" customHeight="true" outlineLevel="0" collapsed="false">
      <c r="A157" s="2"/>
      <c r="B157" s="2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12.75" hidden="false" customHeight="true" outlineLevel="0" collapsed="false">
      <c r="A158" s="2"/>
      <c r="B158" s="2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12.75" hidden="false" customHeight="true" outlineLevel="0" collapsed="false">
      <c r="A159" s="2"/>
      <c r="B159" s="2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12.75" hidden="false" customHeight="true" outlineLevel="0" collapsed="false">
      <c r="A160" s="2"/>
      <c r="B160" s="2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12.75" hidden="false" customHeight="true" outlineLevel="0" collapsed="false">
      <c r="A161" s="2"/>
      <c r="B161" s="2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12.75" hidden="false" customHeight="true" outlineLevel="0" collapsed="false">
      <c r="A162" s="2"/>
      <c r="B162" s="2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customFormat="false" ht="12.75" hidden="false" customHeight="true" outlineLevel="0" collapsed="false">
      <c r="A163" s="2"/>
      <c r="B163" s="2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12.75" hidden="false" customHeight="true" outlineLevel="0" collapsed="false">
      <c r="A164" s="2"/>
      <c r="B164" s="2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12.75" hidden="false" customHeight="true" outlineLevel="0" collapsed="false">
      <c r="A165" s="2"/>
      <c r="B165" s="2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12.75" hidden="false" customHeight="true" outlineLevel="0" collapsed="false">
      <c r="A166" s="2"/>
      <c r="B166" s="2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12.75" hidden="false" customHeight="true" outlineLevel="0" collapsed="false">
      <c r="A167" s="2"/>
      <c r="B167" s="2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12.75" hidden="false" customHeight="true" outlineLevel="0" collapsed="false">
      <c r="A168" s="2"/>
      <c r="B168" s="2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customFormat="false" ht="12.75" hidden="false" customHeight="true" outlineLevel="0" collapsed="false">
      <c r="A169" s="2"/>
      <c r="B169" s="2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12.75" hidden="false" customHeight="true" outlineLevel="0" collapsed="false">
      <c r="A170" s="2"/>
      <c r="B170" s="2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12.75" hidden="false" customHeight="true" outlineLevel="0" collapsed="false">
      <c r="A171" s="2"/>
      <c r="B171" s="2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12.75" hidden="false" customHeight="true" outlineLevel="0" collapsed="false">
      <c r="A172" s="2"/>
      <c r="B172" s="2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12.75" hidden="false" customHeight="true" outlineLevel="0" collapsed="false">
      <c r="A173" s="2"/>
      <c r="B173" s="2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12.75" hidden="false" customHeight="true" outlineLevel="0" collapsed="false">
      <c r="A174" s="2"/>
      <c r="B174" s="2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12.75" hidden="false" customHeight="true" outlineLevel="0" collapsed="false">
      <c r="A175" s="2"/>
      <c r="B175" s="2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12.75" hidden="false" customHeight="true" outlineLevel="0" collapsed="false">
      <c r="A176" s="2"/>
      <c r="B176" s="2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customFormat="false" ht="12.75" hidden="false" customHeight="true" outlineLevel="0" collapsed="false">
      <c r="A177" s="2"/>
      <c r="B177" s="2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customFormat="false" ht="12.75" hidden="false" customHeight="true" outlineLevel="0" collapsed="false">
      <c r="A178" s="2"/>
      <c r="B178" s="2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customFormat="false" ht="12.75" hidden="false" customHeight="true" outlineLevel="0" collapsed="false">
      <c r="A179" s="2"/>
      <c r="B179" s="2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customFormat="false" ht="12.75" hidden="false" customHeight="true" outlineLevel="0" collapsed="false">
      <c r="A180" s="2"/>
      <c r="B180" s="2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customFormat="false" ht="12.75" hidden="false" customHeight="true" outlineLevel="0" collapsed="false">
      <c r="A181" s="2"/>
      <c r="B181" s="2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customFormat="false" ht="12.75" hidden="false" customHeight="true" outlineLevel="0" collapsed="false">
      <c r="A182" s="2"/>
      <c r="B182" s="2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customFormat="false" ht="12.75" hidden="false" customHeight="true" outlineLevel="0" collapsed="false">
      <c r="A183" s="2"/>
      <c r="B183" s="2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customFormat="false" ht="12.75" hidden="false" customHeight="true" outlineLevel="0" collapsed="false">
      <c r="A184" s="2"/>
      <c r="B184" s="2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customFormat="false" ht="12.75" hidden="false" customHeight="true" outlineLevel="0" collapsed="false">
      <c r="A185" s="2"/>
      <c r="B185" s="2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customFormat="false" ht="12.75" hidden="false" customHeight="true" outlineLevel="0" collapsed="false">
      <c r="A186" s="2"/>
      <c r="B186" s="2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customFormat="false" ht="12.75" hidden="false" customHeight="true" outlineLevel="0" collapsed="false">
      <c r="A187" s="2"/>
      <c r="B187" s="2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customFormat="false" ht="12.75" hidden="false" customHeight="true" outlineLevel="0" collapsed="false">
      <c r="A188" s="2"/>
      <c r="B188" s="2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customFormat="false" ht="12.75" hidden="false" customHeight="true" outlineLevel="0" collapsed="false">
      <c r="A189" s="2"/>
      <c r="B189" s="2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customFormat="false" ht="12.75" hidden="false" customHeight="true" outlineLevel="0" collapsed="false">
      <c r="A190" s="2"/>
      <c r="B190" s="2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customFormat="false" ht="12.75" hidden="false" customHeight="true" outlineLevel="0" collapsed="false">
      <c r="A191" s="2"/>
      <c r="B191" s="2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customFormat="false" ht="12.75" hidden="false" customHeight="true" outlineLevel="0" collapsed="false">
      <c r="A192" s="2"/>
      <c r="B192" s="2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customFormat="false" ht="12.75" hidden="false" customHeight="true" outlineLevel="0" collapsed="false">
      <c r="A193" s="2"/>
      <c r="B193" s="2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customFormat="false" ht="12.75" hidden="false" customHeight="true" outlineLevel="0" collapsed="false">
      <c r="A194" s="2"/>
      <c r="B194" s="2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customFormat="false" ht="12.75" hidden="false" customHeight="true" outlineLevel="0" collapsed="false">
      <c r="A195" s="2"/>
      <c r="B195" s="2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customFormat="false" ht="12.75" hidden="false" customHeight="true" outlineLevel="0" collapsed="false">
      <c r="A196" s="2"/>
      <c r="B196" s="2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customFormat="false" ht="12.75" hidden="false" customHeight="true" outlineLevel="0" collapsed="false">
      <c r="A197" s="2"/>
      <c r="B197" s="2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customFormat="false" ht="12.75" hidden="false" customHeight="true" outlineLevel="0" collapsed="false">
      <c r="A198" s="2"/>
      <c r="B198" s="2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customFormat="false" ht="12.75" hidden="false" customHeight="true" outlineLevel="0" collapsed="false">
      <c r="A199" s="2"/>
      <c r="B199" s="2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customFormat="false" ht="12.75" hidden="false" customHeight="true" outlineLevel="0" collapsed="false">
      <c r="A200" s="2"/>
      <c r="B200" s="2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customFormat="false" ht="12.75" hidden="false" customHeight="true" outlineLevel="0" collapsed="false">
      <c r="A201" s="2"/>
      <c r="B201" s="2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customFormat="false" ht="12.75" hidden="false" customHeight="true" outlineLevel="0" collapsed="false">
      <c r="A202" s="2"/>
      <c r="B202" s="2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customFormat="false" ht="12.75" hidden="false" customHeight="true" outlineLevel="0" collapsed="false">
      <c r="A203" s="2"/>
      <c r="B203" s="2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customFormat="false" ht="12.75" hidden="false" customHeight="true" outlineLevel="0" collapsed="false">
      <c r="A204" s="2"/>
      <c r="B204" s="2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customFormat="false" ht="12.75" hidden="false" customHeight="true" outlineLevel="0" collapsed="false">
      <c r="A205" s="2"/>
      <c r="B205" s="2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customFormat="false" ht="12.75" hidden="false" customHeight="true" outlineLevel="0" collapsed="false">
      <c r="A206" s="2"/>
      <c r="B206" s="2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customFormat="false" ht="12.75" hidden="false" customHeight="true" outlineLevel="0" collapsed="false">
      <c r="A207" s="2"/>
      <c r="B207" s="2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customFormat="false" ht="12.75" hidden="false" customHeight="true" outlineLevel="0" collapsed="false">
      <c r="A208" s="2"/>
      <c r="B208" s="2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customFormat="false" ht="12.75" hidden="false" customHeight="true" outlineLevel="0" collapsed="false">
      <c r="A209" s="2"/>
      <c r="B209" s="2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Format="false" ht="12.75" hidden="false" customHeight="true" outlineLevel="0" collapsed="false">
      <c r="A210" s="2"/>
      <c r="B210" s="2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2.75" hidden="false" customHeight="true" outlineLevel="0" collapsed="false">
      <c r="A211" s="2"/>
      <c r="B211" s="2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customFormat="false" ht="12.75" hidden="false" customHeight="true" outlineLevel="0" collapsed="false">
      <c r="A212" s="2"/>
      <c r="B212" s="2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customFormat="false" ht="12.75" hidden="false" customHeight="true" outlineLevel="0" collapsed="false">
      <c r="A213" s="2"/>
      <c r="B213" s="2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customFormat="false" ht="12.75" hidden="false" customHeight="true" outlineLevel="0" collapsed="false">
      <c r="A214" s="2"/>
      <c r="B214" s="2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customFormat="false" ht="12.75" hidden="false" customHeight="true" outlineLevel="0" collapsed="false">
      <c r="A215" s="2"/>
      <c r="B215" s="2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customFormat="false" ht="12.75" hidden="false" customHeight="true" outlineLevel="0" collapsed="false">
      <c r="A216" s="2"/>
      <c r="B216" s="2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customFormat="false" ht="12.75" hidden="false" customHeight="true" outlineLevel="0" collapsed="false">
      <c r="A217" s="2"/>
      <c r="B217" s="2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customFormat="false" ht="12.75" hidden="false" customHeight="true" outlineLevel="0" collapsed="false">
      <c r="A218" s="2"/>
      <c r="B218" s="2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customFormat="false" ht="12.75" hidden="false" customHeight="true" outlineLevel="0" collapsed="false">
      <c r="A219" s="2"/>
      <c r="B219" s="2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customFormat="false" ht="12.75" hidden="false" customHeight="true" outlineLevel="0" collapsed="false">
      <c r="A220" s="2"/>
      <c r="B220" s="2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customFormat="false" ht="12.75" hidden="false" customHeight="true" outlineLevel="0" collapsed="false">
      <c r="A221" s="2"/>
      <c r="B221" s="2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customFormat="false" ht="12.75" hidden="false" customHeight="true" outlineLevel="0" collapsed="false">
      <c r="A222" s="2"/>
      <c r="B222" s="2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customFormat="false" ht="12.75" hidden="false" customHeight="true" outlineLevel="0" collapsed="false">
      <c r="A223" s="2"/>
      <c r="B223" s="2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customFormat="false" ht="12.75" hidden="false" customHeight="true" outlineLevel="0" collapsed="false">
      <c r="A224" s="2"/>
      <c r="B224" s="2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customFormat="false" ht="12.75" hidden="false" customHeight="true" outlineLevel="0" collapsed="false">
      <c r="A225" s="2"/>
      <c r="B225" s="2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customFormat="false" ht="12.75" hidden="false" customHeight="true" outlineLevel="0" collapsed="false">
      <c r="A226" s="2"/>
      <c r="B226" s="2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customFormat="false" ht="12.75" hidden="false" customHeight="true" outlineLevel="0" collapsed="false">
      <c r="A227" s="2"/>
      <c r="B227" s="2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customFormat="false" ht="12.75" hidden="false" customHeight="true" outlineLevel="0" collapsed="false">
      <c r="A228" s="2"/>
      <c r="B228" s="2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customFormat="false" ht="12.75" hidden="false" customHeight="true" outlineLevel="0" collapsed="false">
      <c r="A229" s="2"/>
      <c r="B229" s="2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customFormat="false" ht="12.75" hidden="false" customHeight="true" outlineLevel="0" collapsed="false">
      <c r="A230" s="2"/>
      <c r="B230" s="2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customFormat="false" ht="12.75" hidden="false" customHeight="true" outlineLevel="0" collapsed="false">
      <c r="A231" s="2"/>
      <c r="B231" s="2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customFormat="false" ht="12.75" hidden="false" customHeight="true" outlineLevel="0" collapsed="false">
      <c r="A232" s="2"/>
      <c r="B232" s="2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customFormat="false" ht="12.75" hidden="false" customHeight="true" outlineLevel="0" collapsed="false">
      <c r="A233" s="2"/>
      <c r="B233" s="2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customFormat="false" ht="12.75" hidden="false" customHeight="true" outlineLevel="0" collapsed="false">
      <c r="A234" s="2"/>
      <c r="B234" s="2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customFormat="false" ht="12.75" hidden="false" customHeight="true" outlineLevel="0" collapsed="false">
      <c r="A235" s="2"/>
      <c r="B235" s="2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customFormat="false" ht="12.75" hidden="false" customHeight="true" outlineLevel="0" collapsed="false">
      <c r="A236" s="2"/>
      <c r="B236" s="2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customFormat="false" ht="12.75" hidden="false" customHeight="true" outlineLevel="0" collapsed="false">
      <c r="A237" s="2"/>
      <c r="B237" s="2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customFormat="false" ht="12.75" hidden="false" customHeight="true" outlineLevel="0" collapsed="false">
      <c r="A238" s="2"/>
      <c r="B238" s="2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customFormat="false" ht="12.75" hidden="false" customHeight="true" outlineLevel="0" collapsed="false">
      <c r="A239" s="2"/>
      <c r="B239" s="2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customFormat="false" ht="12.75" hidden="false" customHeight="true" outlineLevel="0" collapsed="false">
      <c r="A240" s="2"/>
      <c r="B240" s="2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customFormat="false" ht="12.75" hidden="false" customHeight="true" outlineLevel="0" collapsed="false">
      <c r="A241" s="2"/>
      <c r="B241" s="2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customFormat="false" ht="12.75" hidden="false" customHeight="true" outlineLevel="0" collapsed="false">
      <c r="A242" s="2"/>
      <c r="B242" s="2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customFormat="false" ht="12.75" hidden="false" customHeight="true" outlineLevel="0" collapsed="false">
      <c r="A243" s="2"/>
      <c r="B243" s="2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customFormat="false" ht="12.75" hidden="false" customHeight="true" outlineLevel="0" collapsed="false">
      <c r="A244" s="2"/>
      <c r="B244" s="2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customFormat="false" ht="12.75" hidden="false" customHeight="true" outlineLevel="0" collapsed="false">
      <c r="A245" s="2"/>
      <c r="B245" s="2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customFormat="false" ht="12.75" hidden="false" customHeight="true" outlineLevel="0" collapsed="false">
      <c r="A246" s="2"/>
      <c r="B246" s="2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customFormat="false" ht="12.75" hidden="false" customHeight="true" outlineLevel="0" collapsed="false">
      <c r="A247" s="2"/>
      <c r="B247" s="2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customFormat="false" ht="12.75" hidden="false" customHeight="true" outlineLevel="0" collapsed="false">
      <c r="A248" s="2"/>
      <c r="B248" s="2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customFormat="false" ht="12.75" hidden="false" customHeight="true" outlineLevel="0" collapsed="false">
      <c r="A249" s="2"/>
      <c r="B249" s="2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customFormat="false" ht="12.75" hidden="false" customHeight="true" outlineLevel="0" collapsed="false">
      <c r="A250" s="2"/>
      <c r="B250" s="2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customFormat="false" ht="12.75" hidden="false" customHeight="true" outlineLevel="0" collapsed="false">
      <c r="A251" s="2"/>
      <c r="B251" s="2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customFormat="false" ht="12.75" hidden="false" customHeight="true" outlineLevel="0" collapsed="false">
      <c r="A252" s="2"/>
      <c r="B252" s="2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customFormat="false" ht="12.75" hidden="false" customHeight="true" outlineLevel="0" collapsed="false">
      <c r="A253" s="2"/>
      <c r="B253" s="2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customFormat="false" ht="12.75" hidden="false" customHeight="true" outlineLevel="0" collapsed="false">
      <c r="A254" s="2"/>
      <c r="B254" s="2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customFormat="false" ht="12.75" hidden="false" customHeight="true" outlineLevel="0" collapsed="false">
      <c r="A255" s="2"/>
      <c r="B255" s="2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</sheetData>
  <mergeCells count="15">
    <mergeCell ref="C4:AD4"/>
    <mergeCell ref="I5:K5"/>
    <mergeCell ref="I6:K6"/>
    <mergeCell ref="I7:K7"/>
    <mergeCell ref="I8:K8"/>
    <mergeCell ref="I9:K9"/>
    <mergeCell ref="C11:D11"/>
    <mergeCell ref="E11:G11"/>
    <mergeCell ref="H11:J11"/>
    <mergeCell ref="K11:M11"/>
    <mergeCell ref="N11:P11"/>
    <mergeCell ref="Q11:S11"/>
    <mergeCell ref="T11:V11"/>
    <mergeCell ref="W11:Y11"/>
    <mergeCell ref="Z11:AB11"/>
  </mergeCells>
  <conditionalFormatting sqref="D13">
    <cfRule type="cellIs" priority="2" operator="equal" aboveAverage="0" equalAverage="0" bottom="0" percent="0" rank="0" text="" dxfId="0">
      <formula>"GOOD"</formula>
    </cfRule>
    <cfRule type="cellIs" priority="3" operator="equal" aboveAverage="0" equalAverage="0" bottom="0" percent="0" rank="0" text="" dxfId="1">
      <formula>"NO GOOD"</formula>
    </cfRule>
  </conditionalFormatting>
  <conditionalFormatting sqref="K13:AB20 K22:AB42 K21:AB21 F13:J42 E13 E15:E42"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"NO GOOD"</formula>
    </cfRule>
  </conditionalFormatting>
  <conditionalFormatting sqref="D14:D42">
    <cfRule type="cellIs" priority="6" operator="equal" aboveAverage="0" equalAverage="0" bottom="0" percent="0" rank="0" text="" dxfId="4">
      <formula>"NO GOOD"</formula>
    </cfRule>
    <cfRule type="cellIs" priority="7" operator="equal" aboveAverage="0" equalAverage="0" bottom="0" percent="0" rank="0" text="" dxfId="5">
      <formula>"GOOD"</formula>
    </cfRule>
  </conditionalFormatting>
  <conditionalFormatting sqref="E14">
    <cfRule type="cellIs" priority="8" operator="equal" aboveAverage="0" equalAverage="0" bottom="0" percent="0" rank="0" text="" dxfId="2">
      <formula>"GOOD"</formula>
    </cfRule>
    <cfRule type="cellIs" priority="9" operator="equal" aboveAverage="0" equalAverage="0" bottom="0" percent="0" rank="0" text="" dxfId="3">
      <formula>"NO GOOD"</formula>
    </cfRule>
  </conditionalFormatting>
  <dataValidations count="2">
    <dataValidation allowBlank="true" errorStyle="stop" operator="between" prompt=" - " showDropDown="false" showErrorMessage="true" showInputMessage="true" sqref="E43:AB43" type="list">
      <formula1>$D$7:$D$8</formula1>
      <formula2>0</formula2>
    </dataValidation>
    <dataValidation allowBlank="true" errorStyle="stop" operator="between" prompt=" - " showDropDown="false" showErrorMessage="true" showInputMessage="true" sqref="D43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&amp;L&amp;10&amp;K737373Dell Customer Communication - Confidential&amp;1#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30"/>
  <sheetViews>
    <sheetView showFormulas="false" showGridLines="false" showRowColHeaders="true" showZeros="true" rightToLeft="false" tabSelected="true" showOutlineSymbols="true" defaultGridColor="true" view="normal" topLeftCell="A22" colorId="64" zoomScale="80" zoomScaleNormal="80" zoomScalePageLayoutView="100" workbookViewId="0">
      <selection pane="topLeft" activeCell="X44" activeCellId="0" sqref="X4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.57"/>
    <col collapsed="false" customWidth="true" hidden="false" outlineLevel="0" max="2" min="2" style="1" width="2.16"/>
    <col collapsed="false" customWidth="true" hidden="false" outlineLevel="0" max="3" min="3" style="1" width="11.43"/>
    <col collapsed="false" customWidth="true" hidden="false" outlineLevel="0" max="28" min="4" style="1" width="14.71"/>
    <col collapsed="false" customWidth="true" hidden="false" outlineLevel="0" max="30" min="29" style="1" width="14.29"/>
    <col collapsed="false" customWidth="true" hidden="false" outlineLevel="0" max="31" min="31" style="1" width="12.29"/>
    <col collapsed="false" customWidth="true" hidden="true" outlineLevel="0" max="32" min="32" style="1" width="9.14"/>
    <col collapsed="false" customWidth="true" hidden="true" outlineLevel="0" max="33" min="33" style="1" width="12.71"/>
    <col collapsed="false" customWidth="true" hidden="true" outlineLevel="0" max="34" min="34" style="1" width="11.57"/>
    <col collapsed="false" customWidth="true" hidden="true" outlineLevel="0" max="37" min="35" style="1" width="9.14"/>
    <col collapsed="false" customWidth="true" hidden="true" outlineLevel="0" max="38" min="38" style="1" width="13.42"/>
    <col collapsed="false" customWidth="true" hidden="false" outlineLevel="0" max="39" min="39" style="1" width="9.14"/>
    <col collapsed="false" customWidth="true" hidden="false" outlineLevel="0" max="40" min="40" style="1" width="17.86"/>
    <col collapsed="false" customWidth="false" hidden="false" outlineLevel="0" max="41" min="41" style="1" width="14.42"/>
  </cols>
  <sheetData>
    <row r="1" s="1" customFormat="true" ht="30" hidden="true" customHeight="true" outlineLevel="0" collapsed="false">
      <c r="A1" s="2"/>
      <c r="B1" s="2"/>
      <c r="C1" s="3"/>
      <c r="D1" s="4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="1" customFormat="true" ht="30" hidden="true" customHeight="true" outlineLevel="0" collapsed="false">
      <c r="A2" s="2"/>
      <c r="B2" s="2"/>
      <c r="C2" s="3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="1" customFormat="true" ht="12.75" hidden="false" customHeight="true" outlineLevel="0" collapsed="false">
      <c r="A3" s="2"/>
      <c r="B3" s="2"/>
      <c r="C3" s="3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="1" customFormat="true" ht="26.25" hidden="false" customHeight="true" outlineLevel="0" collapsed="false">
      <c r="A4" s="2"/>
      <c r="B4" s="2"/>
      <c r="C4" s="6" t="s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2"/>
      <c r="AF4" s="78" t="str">
        <f aca="false">'Data Entry'!AK4</f>
        <v>Categoria</v>
      </c>
      <c r="AG4" s="78" t="str">
        <f aca="false">'Data Entry'!AL4</f>
        <v>Contagem</v>
      </c>
      <c r="AH4" s="78" t="str">
        <f aca="false">'Data Entry'!AM4</f>
        <v>Percentual</v>
      </c>
      <c r="AI4" s="79" t="str">
        <f aca="false">'Data Entry'!AN4</f>
        <v>^2</v>
      </c>
      <c r="AJ4" s="80" t="s">
        <v>47</v>
      </c>
      <c r="AK4" s="80" t="s">
        <v>48</v>
      </c>
      <c r="AL4" s="80" t="s">
        <v>49</v>
      </c>
      <c r="AM4" s="2"/>
      <c r="AN4" s="2"/>
    </row>
    <row r="5" s="1" customFormat="true" ht="15.75" hidden="false" customHeight="true" outlineLevel="0" collapsed="false">
      <c r="A5" s="2"/>
      <c r="B5" s="2"/>
      <c r="C5" s="2"/>
      <c r="D5" s="2"/>
      <c r="E5" s="2"/>
      <c r="F5" s="2"/>
      <c r="G5" s="2"/>
      <c r="H5" s="9" t="s">
        <v>5</v>
      </c>
      <c r="I5" s="10" t="n">
        <f aca="false">IF('Data Entry'!I5="","",'Data Entry'!I5)</f>
        <v>45182</v>
      </c>
      <c r="J5" s="10"/>
      <c r="K5" s="10"/>
      <c r="L5" s="2"/>
      <c r="AE5" s="2"/>
      <c r="AF5" s="78" t="str">
        <f aca="false">'Data Entry'!AK5</f>
        <v>NO GOOD</v>
      </c>
      <c r="AG5" s="78" t="n">
        <f aca="false">'Data Entry'!AL5</f>
        <v>0</v>
      </c>
      <c r="AH5" s="78" t="e">
        <f aca="false">'Data Entry'!AM5</f>
        <v>#DIV/0!</v>
      </c>
      <c r="AI5" s="81" t="e">
        <f aca="false">'Data Entry'!AN5</f>
        <v>#DIV/0!</v>
      </c>
      <c r="AJ5" s="78" t="e">
        <f aca="false">'Data Entry'!AC45</f>
        <v>#DIV/0!</v>
      </c>
      <c r="AK5" s="78" t="e">
        <f aca="false">AI7</f>
        <v>#DIV/0!</v>
      </c>
      <c r="AL5" s="78" t="e">
        <f aca="false">(AJ5 - AK5) / (1 - AK5)</f>
        <v>#DIV/0!</v>
      </c>
      <c r="AM5" s="2"/>
      <c r="AN5" s="2"/>
    </row>
    <row r="6" s="1" customFormat="true" ht="18.75" hidden="false" customHeight="true" outlineLevel="0" collapsed="false">
      <c r="A6" s="2"/>
      <c r="B6" s="2"/>
      <c r="C6" s="2"/>
      <c r="D6" s="14"/>
      <c r="E6" s="2"/>
      <c r="F6" s="2"/>
      <c r="G6" s="2"/>
      <c r="H6" s="9" t="s">
        <v>8</v>
      </c>
      <c r="I6" s="15" t="str">
        <f aca="false">IF('Data Entry'!I6="","",'Data Entry'!I6)</f>
        <v>Apenas um grande teste</v>
      </c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78" t="str">
        <f aca="false">'Data Entry'!AK6</f>
        <v>GOOD</v>
      </c>
      <c r="AG6" s="78" t="n">
        <f aca="false">'Data Entry'!AL6</f>
        <v>0</v>
      </c>
      <c r="AH6" s="79" t="e">
        <f aca="false">'Data Entry'!AM6</f>
        <v>#DIV/0!</v>
      </c>
      <c r="AI6" s="78" t="e">
        <f aca="false">'Data Entry'!AN6</f>
        <v>#DIV/0!</v>
      </c>
      <c r="AJ6" s="82"/>
      <c r="AK6" s="82"/>
      <c r="AL6" s="82"/>
      <c r="AM6" s="2"/>
    </row>
    <row r="7" s="1" customFormat="true" ht="15.75" hidden="false" customHeight="true" outlineLevel="0" collapsed="false">
      <c r="A7" s="17"/>
      <c r="B7" s="17"/>
      <c r="C7" s="83"/>
      <c r="D7" s="84"/>
      <c r="E7" s="85"/>
      <c r="F7" s="2"/>
      <c r="G7" s="2"/>
      <c r="H7" s="9" t="s">
        <v>11</v>
      </c>
      <c r="I7" s="15" t="str">
        <f aca="false">IF('Data Entry'!I7="","",'Data Entry'!I7)</f>
        <v>GP32H</v>
      </c>
      <c r="J7" s="15"/>
      <c r="K7" s="15"/>
      <c r="L7" s="2"/>
      <c r="M7" s="86" t="s">
        <v>50</v>
      </c>
      <c r="N7" s="87" t="s">
        <v>51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0" t="s">
        <v>13</v>
      </c>
      <c r="AD7" s="17"/>
      <c r="AE7" s="17"/>
      <c r="AF7" s="78" t="str">
        <f aca="false">'Data Entry'!AK7</f>
        <v>Total</v>
      </c>
      <c r="AG7" s="78" t="n">
        <f aca="false">'Data Entry'!AL7</f>
        <v>0</v>
      </c>
      <c r="AH7" s="79" t="e">
        <f aca="false">'Data Entry'!AM7</f>
        <v>#DIV/0!</v>
      </c>
      <c r="AI7" s="78" t="e">
        <f aca="false">'Data Entry'!AN7</f>
        <v>#DIV/0!</v>
      </c>
      <c r="AJ7" s="88"/>
      <c r="AK7" s="88"/>
      <c r="AL7" s="88"/>
      <c r="AM7" s="17"/>
    </row>
    <row r="8" s="1" customFormat="true" ht="15.75" hidden="false" customHeight="true" outlineLevel="0" collapsed="false">
      <c r="A8" s="17"/>
      <c r="B8" s="17"/>
      <c r="C8" s="83"/>
      <c r="D8" s="84"/>
      <c r="E8" s="85"/>
      <c r="F8" s="2"/>
      <c r="G8" s="2"/>
      <c r="H8" s="9" t="s">
        <v>15</v>
      </c>
      <c r="I8" s="15" t="str">
        <f aca="false">IF('Data Entry'!I8="","",'Data Entry'!I8)</f>
        <v>WISTRON</v>
      </c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0" t="s">
        <v>17</v>
      </c>
      <c r="AD8" s="20" t="s">
        <v>18</v>
      </c>
      <c r="AE8" s="89" t="s">
        <v>52</v>
      </c>
      <c r="AF8" s="2"/>
      <c r="AG8" s="2"/>
      <c r="AH8" s="2"/>
      <c r="AI8" s="2"/>
      <c r="AJ8" s="17"/>
      <c r="AK8" s="17"/>
      <c r="AL8" s="17"/>
      <c r="AM8" s="17"/>
    </row>
    <row r="9" s="1" customFormat="true" ht="15.75" hidden="false" customHeight="true" outlineLevel="0" collapsed="false">
      <c r="A9" s="17"/>
      <c r="B9" s="17"/>
      <c r="C9" s="85"/>
      <c r="D9" s="85"/>
      <c r="E9" s="85"/>
      <c r="F9" s="2"/>
      <c r="G9" s="2"/>
      <c r="H9" s="9" t="s">
        <v>19</v>
      </c>
      <c r="I9" s="24" t="n">
        <f aca="false">IF('Data Entry'!I9="","",'Data Entry'!I9)</f>
        <v>2023</v>
      </c>
      <c r="J9" s="24"/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0" t="s">
        <v>20</v>
      </c>
      <c r="AD9" s="20" t="s">
        <v>21</v>
      </c>
      <c r="AE9" s="89"/>
      <c r="AF9" s="17"/>
      <c r="AG9" s="17"/>
      <c r="AH9" s="17"/>
      <c r="AI9" s="17"/>
      <c r="AJ9" s="17"/>
      <c r="AK9" s="17"/>
      <c r="AL9" s="17"/>
      <c r="AM9" s="17"/>
    </row>
    <row r="10" s="1" customFormat="true" ht="15.75" hidden="false" customHeight="true" outlineLevel="0" collapsed="false">
      <c r="A10" s="17"/>
      <c r="B10" s="1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0" t="s">
        <v>22</v>
      </c>
      <c r="AD10" s="20" t="s">
        <v>23</v>
      </c>
      <c r="AE10" s="89"/>
      <c r="AF10" s="17"/>
      <c r="AG10" s="17"/>
      <c r="AH10" s="17"/>
      <c r="AI10" s="17"/>
      <c r="AJ10" s="17"/>
      <c r="AK10" s="17"/>
      <c r="AL10" s="17"/>
      <c r="AM10" s="17"/>
      <c r="AN10" s="17"/>
    </row>
    <row r="11" s="1" customFormat="true" ht="15.75" hidden="false" customHeight="true" outlineLevel="0" collapsed="false">
      <c r="A11" s="17"/>
      <c r="B11" s="17"/>
      <c r="C11" s="31" t="s">
        <v>24</v>
      </c>
      <c r="D11" s="31"/>
      <c r="E11" s="26" t="str">
        <f aca="false">IF('Data Entry'!E11:G11="","",'Data Entry'!E11:G11)</f>
        <v>No user</v>
      </c>
      <c r="F11" s="26"/>
      <c r="G11" s="26"/>
      <c r="H11" s="26" t="str">
        <f aca="false">IF('Data Entry'!H11:J11="","",'Data Entry'!H11:J11)</f>
        <v>No user</v>
      </c>
      <c r="I11" s="26"/>
      <c r="J11" s="26"/>
      <c r="K11" s="26" t="str">
        <f aca="false">IF('Data Entry'!K11:M11="","",'Data Entry'!K11:M11)</f>
        <v>No user</v>
      </c>
      <c r="L11" s="26"/>
      <c r="M11" s="26"/>
      <c r="N11" s="26" t="str">
        <f aca="false">IF('Data Entry'!N11:P11="","",'Data Entry'!N11:P11)</f>
        <v>No user</v>
      </c>
      <c r="O11" s="26"/>
      <c r="P11" s="26"/>
      <c r="Q11" s="26" t="str">
        <f aca="false">IF('Data Entry'!Q11:S11="","",'Data Entry'!Q11:S11)</f>
        <v>No user</v>
      </c>
      <c r="R11" s="26"/>
      <c r="S11" s="26"/>
      <c r="T11" s="26" t="str">
        <f aca="false">IF('Data Entry'!T11:V11="","",'Data Entry'!T11:V11)</f>
        <v>No user</v>
      </c>
      <c r="U11" s="26"/>
      <c r="V11" s="26"/>
      <c r="W11" s="26" t="str">
        <f aca="false">IF('Data Entry'!W11:Y11="","",'Data Entry'!W11:Y11)</f>
        <v>No user</v>
      </c>
      <c r="X11" s="26"/>
      <c r="Y11" s="26"/>
      <c r="Z11" s="26" t="str">
        <f aca="false">IF('Data Entry'!Z11:AB11="","",'Data Entry'!Z11:AB11)</f>
        <v>No user</v>
      </c>
      <c r="AA11" s="26"/>
      <c r="AB11" s="26"/>
      <c r="AC11" s="26" t="s">
        <v>26</v>
      </c>
      <c r="AD11" s="28" t="s">
        <v>26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="1" customFormat="true" ht="15.75" hidden="false" customHeight="true" outlineLevel="0" collapsed="false">
      <c r="A12" s="17"/>
      <c r="B12" s="17"/>
      <c r="C12" s="29" t="s">
        <v>27</v>
      </c>
      <c r="D12" s="31" t="s">
        <v>28</v>
      </c>
      <c r="E12" s="25" t="s">
        <v>29</v>
      </c>
      <c r="F12" s="31" t="s">
        <v>30</v>
      </c>
      <c r="G12" s="32"/>
      <c r="H12" s="25" t="s">
        <v>29</v>
      </c>
      <c r="I12" s="31" t="s">
        <v>30</v>
      </c>
      <c r="J12" s="32"/>
      <c r="K12" s="25" t="s">
        <v>29</v>
      </c>
      <c r="L12" s="31" t="s">
        <v>30</v>
      </c>
      <c r="M12" s="32"/>
      <c r="N12" s="25" t="s">
        <v>29</v>
      </c>
      <c r="O12" s="31" t="s">
        <v>30</v>
      </c>
      <c r="P12" s="32"/>
      <c r="Q12" s="25" t="s">
        <v>29</v>
      </c>
      <c r="R12" s="31" t="s">
        <v>30</v>
      </c>
      <c r="S12" s="32"/>
      <c r="T12" s="25" t="s">
        <v>29</v>
      </c>
      <c r="U12" s="31" t="s">
        <v>30</v>
      </c>
      <c r="V12" s="32"/>
      <c r="W12" s="25" t="s">
        <v>29</v>
      </c>
      <c r="X12" s="31" t="s">
        <v>30</v>
      </c>
      <c r="Y12" s="32"/>
      <c r="Z12" s="25" t="s">
        <v>29</v>
      </c>
      <c r="AA12" s="31" t="s">
        <v>30</v>
      </c>
      <c r="AB12" s="32"/>
      <c r="AC12" s="90" t="s">
        <v>31</v>
      </c>
      <c r="AD12" s="35" t="s">
        <v>31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="1" customFormat="true" ht="15.75" hidden="false" customHeight="true" outlineLevel="0" collapsed="false">
      <c r="A13" s="17"/>
      <c r="B13" s="17"/>
      <c r="C13" s="36" t="n">
        <v>1</v>
      </c>
      <c r="D13" s="91" t="n">
        <f aca="false">'Data Entry'!D13</f>
        <v>0</v>
      </c>
      <c r="E13" s="37" t="str">
        <f aca="false">IF($E$11="","",IF('Data Entry'!E13="","",IF('Data Entry'!E13='Data Entry'!$D13,1,IF('Data Entry'!$D13="GOOD",0,-1))))</f>
        <v/>
      </c>
      <c r="F13" s="38" t="str">
        <f aca="false">IF($E$11="","",IF('Data Entry'!F13="","",IF('Data Entry'!F13='Data Entry'!$D13,1,IF('Data Entry'!$D13="GOOD",0,-1))))</f>
        <v/>
      </c>
      <c r="G13" s="39" t="str">
        <f aca="false">IF($E$11="","",IF('Data Entry'!G13="","",IF('Data Entry'!G13='Data Entry'!$D13,1,IF('Data Entry'!$D13="GOOD",0,-1))))</f>
        <v/>
      </c>
      <c r="H13" s="37" t="str">
        <f aca="false">IF($H$11="","",IF('Data Entry'!H13="","",IF('Data Entry'!H13='Data Entry'!$D13,1,IF('Data Entry'!$D13="GOOD",0,-1))))</f>
        <v/>
      </c>
      <c r="I13" s="38" t="str">
        <f aca="false">IF($H$11="","",IF('Data Entry'!I13="","",IF('Data Entry'!I13='Data Entry'!$D13,1,IF('Data Entry'!$D13="GOOD",0,-1))))</f>
        <v/>
      </c>
      <c r="J13" s="39" t="str">
        <f aca="false">IF($H$11="","",IF('Data Entry'!J13="","",IF('Data Entry'!J13='Data Entry'!$D13,1,IF('Data Entry'!$D13="GOOD",0,-1))))</f>
        <v/>
      </c>
      <c r="K13" s="37" t="str">
        <f aca="false">IF($H$11="","",IF('Data Entry'!K13="","",IF('Data Entry'!K13='Data Entry'!$D13,1,IF('Data Entry'!$D13="GOOD",0,-1))))</f>
        <v/>
      </c>
      <c r="L13" s="38" t="str">
        <f aca="false">IF($H$11="","",IF('Data Entry'!L13="","",IF('Data Entry'!L13='Data Entry'!$D13,1,IF('Data Entry'!$D13="GOOD",0,-1))))</f>
        <v/>
      </c>
      <c r="M13" s="39" t="str">
        <f aca="false">IF($H$11="","",IF('Data Entry'!M13="","",IF('Data Entry'!M13='Data Entry'!$D13,1,IF('Data Entry'!$D13="GOOD",0,-1))))</f>
        <v/>
      </c>
      <c r="N13" s="37" t="str">
        <f aca="false">IF($H$11="","",IF('Data Entry'!N13="","",IF('Data Entry'!N13='Data Entry'!$D13,1,IF('Data Entry'!$D13="GOOD",0,-1))))</f>
        <v/>
      </c>
      <c r="O13" s="38" t="str">
        <f aca="false">IF($H$11="","",IF('Data Entry'!O13="","",IF('Data Entry'!O13='Data Entry'!$D13,1,IF('Data Entry'!$D13="GOOD",0,-1))))</f>
        <v/>
      </c>
      <c r="P13" s="39" t="str">
        <f aca="false">IF($H$11="","",IF('Data Entry'!P13="","",IF('Data Entry'!P13='Data Entry'!$D13,1,IF('Data Entry'!$D13="GOOD",0,-1))))</f>
        <v/>
      </c>
      <c r="Q13" s="37" t="str">
        <f aca="false">IF($H$11="","",IF('Data Entry'!Q13="","",IF('Data Entry'!Q13='Data Entry'!$D13,1,IF('Data Entry'!$D13="GOOD",0,-1))))</f>
        <v/>
      </c>
      <c r="R13" s="38" t="str">
        <f aca="false">IF($H$11="","",IF('Data Entry'!R13="","",IF('Data Entry'!R13='Data Entry'!$D13,1,IF('Data Entry'!$D13="GOOD",0,-1))))</f>
        <v/>
      </c>
      <c r="S13" s="39" t="str">
        <f aca="false">IF($H$11="","",IF('Data Entry'!S13="","",IF('Data Entry'!S13='Data Entry'!$D13,1,IF('Data Entry'!$D13="GOOD",0,-1))))</f>
        <v/>
      </c>
      <c r="T13" s="37" t="str">
        <f aca="false">IF($H$11="","",IF('Data Entry'!T13="","",IF('Data Entry'!T13='Data Entry'!$D13,1,IF('Data Entry'!$D13="GOOD",0,-1))))</f>
        <v/>
      </c>
      <c r="U13" s="38" t="str">
        <f aca="false">IF($H$11="","",IF('Data Entry'!U13="","",IF('Data Entry'!U13='Data Entry'!$D13,1,IF('Data Entry'!$D13="GOOD",0,-1))))</f>
        <v/>
      </c>
      <c r="V13" s="39" t="str">
        <f aca="false">IF($H$11="","",IF('Data Entry'!V13="","",IF('Data Entry'!V13='Data Entry'!$D13,1,IF('Data Entry'!$D13="GOOD",0,-1))))</f>
        <v/>
      </c>
      <c r="W13" s="37" t="str">
        <f aca="false">IF($H$11="","",IF('Data Entry'!W13="","",IF('Data Entry'!W13='Data Entry'!$D13,1,IF('Data Entry'!$D13="GOOD",0,-1))))</f>
        <v/>
      </c>
      <c r="X13" s="38" t="str">
        <f aca="false">IF($H$11="","",IF('Data Entry'!X13="","",IF('Data Entry'!X13='Data Entry'!$D13,1,IF('Data Entry'!$D13="GOOD",0,-1))))</f>
        <v/>
      </c>
      <c r="Y13" s="39" t="str">
        <f aca="false">IF($H$11="","",IF('Data Entry'!Y13="","",IF('Data Entry'!Y13='Data Entry'!$D13,1,IF('Data Entry'!$D13="GOOD",0,-1))))</f>
        <v/>
      </c>
      <c r="Z13" s="37" t="str">
        <f aca="false">IF($H$11="","",IF('Data Entry'!Z13="","",IF('Data Entry'!Z13='Data Entry'!$D13,1,IF('Data Entry'!$D13="GOOD",0,-1))))</f>
        <v/>
      </c>
      <c r="AA13" s="38" t="str">
        <f aca="false">IF($H$11="","",IF('Data Entry'!AA13="","",IF('Data Entry'!AA13='Data Entry'!$D13,1,IF('Data Entry'!$D13="GOOD",0,-1))))</f>
        <v/>
      </c>
      <c r="AB13" s="39" t="str">
        <f aca="false">IF($H$11="","",IF('Data Entry'!AB13="","",IF('Data Entry'!AB13='Data Entry'!$D13,1,IF('Data Entry'!$D13="GOOD",0,-1))))</f>
        <v/>
      </c>
      <c r="AC13" s="92" t="str">
        <f aca="false">'Data Entry'!AC13</f>
        <v/>
      </c>
      <c r="AD13" s="92" t="str">
        <f aca="false">'Data Entry'!AD13</f>
        <v/>
      </c>
      <c r="AE13" s="17" t="n">
        <f aca="false" t="array" ref="AE13:AE13">SUMPRODUCT((E13:AB13&lt;&gt;1)*(E13:AB13&lt;&gt;""))</f>
        <v>0</v>
      </c>
      <c r="AF13" s="17"/>
      <c r="AG13" s="17"/>
      <c r="AH13" s="17"/>
      <c r="AI13" s="17"/>
      <c r="AJ13" s="17"/>
      <c r="AK13" s="17"/>
      <c r="AL13" s="17"/>
      <c r="AM13" s="17"/>
      <c r="AN13" s="17"/>
    </row>
    <row r="14" s="1" customFormat="true" ht="15.75" hidden="false" customHeight="true" outlineLevel="0" collapsed="false">
      <c r="A14" s="17"/>
      <c r="B14" s="17"/>
      <c r="C14" s="36" t="n">
        <v>2</v>
      </c>
      <c r="D14" s="91" t="n">
        <f aca="false">'Data Entry'!D14</f>
        <v>0</v>
      </c>
      <c r="E14" s="45" t="str">
        <f aca="false">IF($E$11="","",IF('Data Entry'!E14="","",IF('Data Entry'!E14='Data Entry'!$D14,1,IF('Data Entry'!$D14="GOOD",0,-1))))</f>
        <v/>
      </c>
      <c r="F14" s="46" t="str">
        <f aca="false">IF($E$11="","",IF('Data Entry'!F14="","",IF('Data Entry'!F14='Data Entry'!$D14,1,IF('Data Entry'!$D14="GOOD",0,-1))))</f>
        <v/>
      </c>
      <c r="G14" s="47" t="str">
        <f aca="false">IF($E$11="","",IF('Data Entry'!G14="","",IF('Data Entry'!G14='Data Entry'!$D14,1,IF('Data Entry'!$D14="GOOD",0,-1))))</f>
        <v/>
      </c>
      <c r="H14" s="45" t="str">
        <f aca="false">IF($H$11="","",IF('Data Entry'!H14="","",IF('Data Entry'!H14='Data Entry'!$D14,1,IF('Data Entry'!$D14="GOOD",0,-1))))</f>
        <v/>
      </c>
      <c r="I14" s="46" t="str">
        <f aca="false">IF($H$11="","",IF('Data Entry'!I14="","",IF('Data Entry'!I14='Data Entry'!$D14,1,IF('Data Entry'!$D14="GOOD",0,-1))))</f>
        <v/>
      </c>
      <c r="J14" s="47" t="str">
        <f aca="false">IF($H$11="","",IF('Data Entry'!J14="","",IF('Data Entry'!J14='Data Entry'!$D14,1,IF('Data Entry'!$D14="GOOD",0,-1))))</f>
        <v/>
      </c>
      <c r="K14" s="45" t="str">
        <f aca="false">IF($H$11="","",IF('Data Entry'!K14="","",IF('Data Entry'!K14='Data Entry'!$D14,1,IF('Data Entry'!$D14="GOOD",0,-1))))</f>
        <v/>
      </c>
      <c r="L14" s="46" t="str">
        <f aca="false">IF($H$11="","",IF('Data Entry'!L14="","",IF('Data Entry'!L14='Data Entry'!$D14,1,IF('Data Entry'!$D14="GOOD",0,-1))))</f>
        <v/>
      </c>
      <c r="M14" s="47" t="str">
        <f aca="false">IF($H$11="","",IF('Data Entry'!M14="","",IF('Data Entry'!M14='Data Entry'!$D14,1,IF('Data Entry'!$D14="GOOD",0,-1))))</f>
        <v/>
      </c>
      <c r="N14" s="45" t="str">
        <f aca="false">IF($H$11="","",IF('Data Entry'!N14="","",IF('Data Entry'!N14='Data Entry'!$D14,1,IF('Data Entry'!$D14="GOOD",0,-1))))</f>
        <v/>
      </c>
      <c r="O14" s="46" t="str">
        <f aca="false">IF($H$11="","",IF('Data Entry'!O14="","",IF('Data Entry'!O14='Data Entry'!$D14,1,IF('Data Entry'!$D14="GOOD",0,-1))))</f>
        <v/>
      </c>
      <c r="P14" s="47" t="str">
        <f aca="false">IF($H$11="","",IF('Data Entry'!P14="","",IF('Data Entry'!P14='Data Entry'!$D14,1,IF('Data Entry'!$D14="GOOD",0,-1))))</f>
        <v/>
      </c>
      <c r="Q14" s="45" t="str">
        <f aca="false">IF($H$11="","",IF('Data Entry'!Q14="","",IF('Data Entry'!Q14='Data Entry'!$D14,1,IF('Data Entry'!$D14="GOOD",0,-1))))</f>
        <v/>
      </c>
      <c r="R14" s="46" t="str">
        <f aca="false">IF($H$11="","",IF('Data Entry'!R14="","",IF('Data Entry'!R14='Data Entry'!$D14,1,IF('Data Entry'!$D14="GOOD",0,-1))))</f>
        <v/>
      </c>
      <c r="S14" s="47" t="str">
        <f aca="false">IF($H$11="","",IF('Data Entry'!S14="","",IF('Data Entry'!S14='Data Entry'!$D14,1,IF('Data Entry'!$D14="GOOD",0,-1))))</f>
        <v/>
      </c>
      <c r="T14" s="45" t="str">
        <f aca="false">IF($H$11="","",IF('Data Entry'!T14="","",IF('Data Entry'!T14='Data Entry'!$D14,1,IF('Data Entry'!$D14="GOOD",0,-1))))</f>
        <v/>
      </c>
      <c r="U14" s="46" t="str">
        <f aca="false">IF($H$11="","",IF('Data Entry'!U14="","",IF('Data Entry'!U14='Data Entry'!$D14,1,IF('Data Entry'!$D14="GOOD",0,-1))))</f>
        <v/>
      </c>
      <c r="V14" s="47" t="str">
        <f aca="false">IF($H$11="","",IF('Data Entry'!V14="","",IF('Data Entry'!V14='Data Entry'!$D14,1,IF('Data Entry'!$D14="GOOD",0,-1))))</f>
        <v/>
      </c>
      <c r="W14" s="45" t="str">
        <f aca="false">IF($H$11="","",IF('Data Entry'!W14="","",IF('Data Entry'!W14='Data Entry'!$D14,1,IF('Data Entry'!$D14="GOOD",0,-1))))</f>
        <v/>
      </c>
      <c r="X14" s="46" t="str">
        <f aca="false">IF($H$11="","",IF('Data Entry'!X14="","",IF('Data Entry'!X14='Data Entry'!$D14,1,IF('Data Entry'!$D14="GOOD",0,-1))))</f>
        <v/>
      </c>
      <c r="Y14" s="47" t="str">
        <f aca="false">IF($H$11="","",IF('Data Entry'!Y14="","",IF('Data Entry'!Y14='Data Entry'!$D14,1,IF('Data Entry'!$D14="GOOD",0,-1))))</f>
        <v/>
      </c>
      <c r="Z14" s="45" t="str">
        <f aca="false">IF($H$11="","",IF('Data Entry'!Z14="","",IF('Data Entry'!Z14='Data Entry'!$D14,1,IF('Data Entry'!$D14="GOOD",0,-1))))</f>
        <v/>
      </c>
      <c r="AA14" s="46" t="str">
        <f aca="false">IF($H$11="","",IF('Data Entry'!AA14="","",IF('Data Entry'!AA14='Data Entry'!$D14,1,IF('Data Entry'!$D14="GOOD",0,-1))))</f>
        <v/>
      </c>
      <c r="AB14" s="47" t="str">
        <f aca="false">IF($H$11="","",IF('Data Entry'!AB14="","",IF('Data Entry'!AB14='Data Entry'!$D14,1,IF('Data Entry'!$D14="GOOD",0,-1))))</f>
        <v/>
      </c>
      <c r="AC14" s="92" t="str">
        <f aca="false">'Data Entry'!AC14</f>
        <v/>
      </c>
      <c r="AD14" s="92" t="str">
        <f aca="false">'Data Entry'!AD14</f>
        <v/>
      </c>
      <c r="AE14" s="17" t="n">
        <f aca="false" t="array" ref="AE14:AE14">SUMPRODUCT((E14:AB14&lt;&gt;1)*(E14:AB14&lt;&gt;""))</f>
        <v>0</v>
      </c>
      <c r="AF14" s="17"/>
      <c r="AG14" s="17"/>
      <c r="AH14" s="17"/>
      <c r="AI14" s="17"/>
      <c r="AJ14" s="17"/>
      <c r="AK14" s="17"/>
      <c r="AL14" s="17"/>
      <c r="AM14" s="17"/>
      <c r="AN14" s="17"/>
    </row>
    <row r="15" s="1" customFormat="true" ht="15.75" hidden="false" customHeight="true" outlineLevel="0" collapsed="false">
      <c r="A15" s="17"/>
      <c r="B15" s="17"/>
      <c r="C15" s="36" t="n">
        <v>3</v>
      </c>
      <c r="D15" s="91" t="n">
        <f aca="false">'Data Entry'!D15</f>
        <v>0</v>
      </c>
      <c r="E15" s="37" t="str">
        <f aca="false">IF($E$11="","",IF('Data Entry'!E15="","",IF('Data Entry'!E15='Data Entry'!$D15,1,IF('Data Entry'!$D15="GOOD",0,-1))))</f>
        <v/>
      </c>
      <c r="F15" s="38" t="str">
        <f aca="false">IF($E$11="","",IF('Data Entry'!F15="","",IF('Data Entry'!F15='Data Entry'!$D15,1,IF('Data Entry'!$D15="GOOD",0,-1))))</f>
        <v/>
      </c>
      <c r="G15" s="39" t="str">
        <f aca="false">IF($E$11="","",IF('Data Entry'!G15="","",IF('Data Entry'!G15='Data Entry'!$D15,1,IF('Data Entry'!$D15="GOOD",0,-1))))</f>
        <v/>
      </c>
      <c r="H15" s="37" t="str">
        <f aca="false">IF($H$11="","",IF('Data Entry'!H15="","",IF('Data Entry'!H15='Data Entry'!$D15,1,IF('Data Entry'!$D15="GOOD",0,-1))))</f>
        <v/>
      </c>
      <c r="I15" s="38" t="str">
        <f aca="false">IF($H$11="","",IF('Data Entry'!I15="","",IF('Data Entry'!I15='Data Entry'!$D15,1,IF('Data Entry'!$D15="GOOD",0,-1))))</f>
        <v/>
      </c>
      <c r="J15" s="39" t="str">
        <f aca="false">IF($H$11="","",IF('Data Entry'!J15="","",IF('Data Entry'!J15='Data Entry'!$D15,1,IF('Data Entry'!$D15="GOOD",0,-1))))</f>
        <v/>
      </c>
      <c r="K15" s="37" t="str">
        <f aca="false">IF($H$11="","",IF('Data Entry'!K15="","",IF('Data Entry'!K15='Data Entry'!$D15,1,IF('Data Entry'!$D15="GOOD",0,-1))))</f>
        <v/>
      </c>
      <c r="L15" s="38" t="str">
        <f aca="false">IF($H$11="","",IF('Data Entry'!L15="","",IF('Data Entry'!L15='Data Entry'!$D15,1,IF('Data Entry'!$D15="GOOD",0,-1))))</f>
        <v/>
      </c>
      <c r="M15" s="39" t="str">
        <f aca="false">IF($H$11="","",IF('Data Entry'!M15="","",IF('Data Entry'!M15='Data Entry'!$D15,1,IF('Data Entry'!$D15="GOOD",0,-1))))</f>
        <v/>
      </c>
      <c r="N15" s="37" t="str">
        <f aca="false">IF($H$11="","",IF('Data Entry'!N15="","",IF('Data Entry'!N15='Data Entry'!$D15,1,IF('Data Entry'!$D15="GOOD",0,-1))))</f>
        <v/>
      </c>
      <c r="O15" s="38" t="str">
        <f aca="false">IF($H$11="","",IF('Data Entry'!O15="","",IF('Data Entry'!O15='Data Entry'!$D15,1,IF('Data Entry'!$D15="GOOD",0,-1))))</f>
        <v/>
      </c>
      <c r="P15" s="39" t="str">
        <f aca="false">IF($H$11="","",IF('Data Entry'!P15="","",IF('Data Entry'!P15='Data Entry'!$D15,1,IF('Data Entry'!$D15="GOOD",0,-1))))</f>
        <v/>
      </c>
      <c r="Q15" s="37" t="str">
        <f aca="false">IF($H$11="","",IF('Data Entry'!Q15="","",IF('Data Entry'!Q15='Data Entry'!$D15,1,IF('Data Entry'!$D15="GOOD",0,-1))))</f>
        <v/>
      </c>
      <c r="R15" s="38" t="str">
        <f aca="false">IF($H$11="","",IF('Data Entry'!R15="","",IF('Data Entry'!R15='Data Entry'!$D15,1,IF('Data Entry'!$D15="GOOD",0,-1))))</f>
        <v/>
      </c>
      <c r="S15" s="39" t="str">
        <f aca="false">IF($H$11="","",IF('Data Entry'!S15="","",IF('Data Entry'!S15='Data Entry'!$D15,1,IF('Data Entry'!$D15="GOOD",0,-1))))</f>
        <v/>
      </c>
      <c r="T15" s="37" t="str">
        <f aca="false">IF($H$11="","",IF('Data Entry'!T15="","",IF('Data Entry'!T15='Data Entry'!$D15,1,IF('Data Entry'!$D15="GOOD",0,-1))))</f>
        <v/>
      </c>
      <c r="U15" s="38" t="str">
        <f aca="false">IF($H$11="","",IF('Data Entry'!U15="","",IF('Data Entry'!U15='Data Entry'!$D15,1,IF('Data Entry'!$D15="GOOD",0,-1))))</f>
        <v/>
      </c>
      <c r="V15" s="39" t="str">
        <f aca="false">IF($H$11="","",IF('Data Entry'!V15="","",IF('Data Entry'!V15='Data Entry'!$D15,1,IF('Data Entry'!$D15="GOOD",0,-1))))</f>
        <v/>
      </c>
      <c r="W15" s="37" t="str">
        <f aca="false">IF($H$11="","",IF('Data Entry'!W15="","",IF('Data Entry'!W15='Data Entry'!$D15,1,IF('Data Entry'!$D15="GOOD",0,-1))))</f>
        <v/>
      </c>
      <c r="X15" s="38" t="str">
        <f aca="false">IF($H$11="","",IF('Data Entry'!X15="","",IF('Data Entry'!X15='Data Entry'!$D15,1,IF('Data Entry'!$D15="GOOD",0,-1))))</f>
        <v/>
      </c>
      <c r="Y15" s="39" t="str">
        <f aca="false">IF($H$11="","",IF('Data Entry'!Y15="","",IF('Data Entry'!Y15='Data Entry'!$D15,1,IF('Data Entry'!$D15="GOOD",0,-1))))</f>
        <v/>
      </c>
      <c r="Z15" s="37" t="str">
        <f aca="false">IF($H$11="","",IF('Data Entry'!Z15="","",IF('Data Entry'!Z15='Data Entry'!$D15,1,IF('Data Entry'!$D15="GOOD",0,-1))))</f>
        <v/>
      </c>
      <c r="AA15" s="38" t="str">
        <f aca="false">IF($H$11="","",IF('Data Entry'!AA15="","",IF('Data Entry'!AA15='Data Entry'!$D15,1,IF('Data Entry'!$D15="GOOD",0,-1))))</f>
        <v/>
      </c>
      <c r="AB15" s="39" t="str">
        <f aca="false">IF($H$11="","",IF('Data Entry'!AB15="","",IF('Data Entry'!AB15='Data Entry'!$D15,1,IF('Data Entry'!$D15="GOOD",0,-1))))</f>
        <v/>
      </c>
      <c r="AC15" s="92" t="str">
        <f aca="false">'Data Entry'!AC15</f>
        <v/>
      </c>
      <c r="AD15" s="92" t="str">
        <f aca="false">'Data Entry'!AD15</f>
        <v/>
      </c>
      <c r="AE15" s="17" t="n">
        <f aca="false" t="array" ref="AE15:AE15">SUMPRODUCT((E15:AB15&lt;&gt;1)*(E15:AB15&lt;&gt;""))</f>
        <v>0</v>
      </c>
      <c r="AF15" s="17"/>
      <c r="AG15" s="17"/>
      <c r="AH15" s="17"/>
      <c r="AI15" s="17"/>
      <c r="AJ15" s="17"/>
      <c r="AK15" s="17"/>
      <c r="AL15" s="17"/>
      <c r="AM15" s="17"/>
      <c r="AN15" s="17"/>
    </row>
    <row r="16" s="1" customFormat="true" ht="15.75" hidden="false" customHeight="true" outlineLevel="0" collapsed="false">
      <c r="A16" s="17"/>
      <c r="B16" s="17"/>
      <c r="C16" s="36" t="n">
        <v>4</v>
      </c>
      <c r="D16" s="91" t="n">
        <f aca="false">'Data Entry'!D16</f>
        <v>0</v>
      </c>
      <c r="E16" s="37" t="str">
        <f aca="false">IF($E$11="","",IF('Data Entry'!E16="","",IF('Data Entry'!E16='Data Entry'!$D16,1,IF('Data Entry'!$D16="GOOD",0,-1))))</f>
        <v/>
      </c>
      <c r="F16" s="38" t="str">
        <f aca="false">IF($E$11="","",IF('Data Entry'!F16="","",IF('Data Entry'!F16='Data Entry'!$D16,1,IF('Data Entry'!$D16="GOOD",0,-1))))</f>
        <v/>
      </c>
      <c r="G16" s="39" t="str">
        <f aca="false">IF($E$11="","",IF('Data Entry'!G16="","",IF('Data Entry'!G16='Data Entry'!$D16,1,IF('Data Entry'!$D16="GOOD",0,-1))))</f>
        <v/>
      </c>
      <c r="H16" s="37" t="str">
        <f aca="false">IF($H$11="","",IF('Data Entry'!H16="","",IF('Data Entry'!H16='Data Entry'!$D16,1,IF('Data Entry'!$D16="GOOD",0,-1))))</f>
        <v/>
      </c>
      <c r="I16" s="38" t="str">
        <f aca="false">IF($H$11="","",IF('Data Entry'!I16="","",IF('Data Entry'!I16='Data Entry'!$D16,1,IF('Data Entry'!$D16="GOOD",0,-1))))</f>
        <v/>
      </c>
      <c r="J16" s="39" t="str">
        <f aca="false">IF($H$11="","",IF('Data Entry'!J16="","",IF('Data Entry'!J16='Data Entry'!$D16,1,IF('Data Entry'!$D16="GOOD",0,-1))))</f>
        <v/>
      </c>
      <c r="K16" s="37" t="str">
        <f aca="false">IF($H$11="","",IF('Data Entry'!K16="","",IF('Data Entry'!K16='Data Entry'!$D16,1,IF('Data Entry'!$D16="GOOD",0,-1))))</f>
        <v/>
      </c>
      <c r="L16" s="38" t="str">
        <f aca="false">IF($H$11="","",IF('Data Entry'!L16="","",IF('Data Entry'!L16='Data Entry'!$D16,1,IF('Data Entry'!$D16="GOOD",0,-1))))</f>
        <v/>
      </c>
      <c r="M16" s="39" t="str">
        <f aca="false">IF($H$11="","",IF('Data Entry'!M16="","",IF('Data Entry'!M16='Data Entry'!$D16,1,IF('Data Entry'!$D16="GOOD",0,-1))))</f>
        <v/>
      </c>
      <c r="N16" s="37" t="str">
        <f aca="false">IF($H$11="","",IF('Data Entry'!N16="","",IF('Data Entry'!N16='Data Entry'!$D16,1,IF('Data Entry'!$D16="GOOD",0,-1))))</f>
        <v/>
      </c>
      <c r="O16" s="38" t="str">
        <f aca="false">IF($H$11="","",IF('Data Entry'!O16="","",IF('Data Entry'!O16='Data Entry'!$D16,1,IF('Data Entry'!$D16="GOOD",0,-1))))</f>
        <v/>
      </c>
      <c r="P16" s="39" t="str">
        <f aca="false">IF($H$11="","",IF('Data Entry'!P16="","",IF('Data Entry'!P16='Data Entry'!$D16,1,IF('Data Entry'!$D16="GOOD",0,-1))))</f>
        <v/>
      </c>
      <c r="Q16" s="37" t="str">
        <f aca="false">IF($H$11="","",IF('Data Entry'!Q16="","",IF('Data Entry'!Q16='Data Entry'!$D16,1,IF('Data Entry'!$D16="GOOD",0,-1))))</f>
        <v/>
      </c>
      <c r="R16" s="38" t="str">
        <f aca="false">IF($H$11="","",IF('Data Entry'!R16="","",IF('Data Entry'!R16='Data Entry'!$D16,1,IF('Data Entry'!$D16="GOOD",0,-1))))</f>
        <v/>
      </c>
      <c r="S16" s="39" t="str">
        <f aca="false">IF($H$11="","",IF('Data Entry'!S16="","",IF('Data Entry'!S16='Data Entry'!$D16,1,IF('Data Entry'!$D16="GOOD",0,-1))))</f>
        <v/>
      </c>
      <c r="T16" s="37" t="str">
        <f aca="false">IF($H$11="","",IF('Data Entry'!T16="","",IF('Data Entry'!T16='Data Entry'!$D16,1,IF('Data Entry'!$D16="GOOD",0,-1))))</f>
        <v/>
      </c>
      <c r="U16" s="38" t="str">
        <f aca="false">IF($H$11="","",IF('Data Entry'!U16="","",IF('Data Entry'!U16='Data Entry'!$D16,1,IF('Data Entry'!$D16="GOOD",0,-1))))</f>
        <v/>
      </c>
      <c r="V16" s="39" t="str">
        <f aca="false">IF($H$11="","",IF('Data Entry'!V16="","",IF('Data Entry'!V16='Data Entry'!$D16,1,IF('Data Entry'!$D16="GOOD",0,-1))))</f>
        <v/>
      </c>
      <c r="W16" s="37" t="str">
        <f aca="false">IF($H$11="","",IF('Data Entry'!W16="","",IF('Data Entry'!W16='Data Entry'!$D16,1,IF('Data Entry'!$D16="GOOD",0,-1))))</f>
        <v/>
      </c>
      <c r="X16" s="38" t="str">
        <f aca="false">IF($H$11="","",IF('Data Entry'!X16="","",IF('Data Entry'!X16='Data Entry'!$D16,1,IF('Data Entry'!$D16="GOOD",0,-1))))</f>
        <v/>
      </c>
      <c r="Y16" s="39" t="str">
        <f aca="false">IF($H$11="","",IF('Data Entry'!Y16="","",IF('Data Entry'!Y16='Data Entry'!$D16,1,IF('Data Entry'!$D16="GOOD",0,-1))))</f>
        <v/>
      </c>
      <c r="Z16" s="37" t="str">
        <f aca="false">IF($H$11="","",IF('Data Entry'!Z16="","",IF('Data Entry'!Z16='Data Entry'!$D16,1,IF('Data Entry'!$D16="GOOD",0,-1))))</f>
        <v/>
      </c>
      <c r="AA16" s="38" t="str">
        <f aca="false">IF($H$11="","",IF('Data Entry'!AA16="","",IF('Data Entry'!AA16='Data Entry'!$D16,1,IF('Data Entry'!$D16="GOOD",0,-1))))</f>
        <v/>
      </c>
      <c r="AB16" s="39" t="str">
        <f aca="false">IF($H$11="","",IF('Data Entry'!AB16="","",IF('Data Entry'!AB16='Data Entry'!$D16,1,IF('Data Entry'!$D16="GOOD",0,-1))))</f>
        <v/>
      </c>
      <c r="AC16" s="92" t="str">
        <f aca="false">'Data Entry'!AC16</f>
        <v/>
      </c>
      <c r="AD16" s="92" t="str">
        <f aca="false">'Data Entry'!AD16</f>
        <v/>
      </c>
      <c r="AE16" s="17" t="n">
        <f aca="false" t="array" ref="AE16:AE16">SUMPRODUCT((E16:AB16&lt;&gt;1)*(E16:AB16&lt;&gt;""))</f>
        <v>0</v>
      </c>
      <c r="AF16" s="17"/>
      <c r="AG16" s="17"/>
      <c r="AH16" s="17"/>
      <c r="AI16" s="17"/>
      <c r="AJ16" s="17"/>
      <c r="AK16" s="17"/>
      <c r="AL16" s="17"/>
      <c r="AM16" s="17"/>
      <c r="AN16" s="17"/>
    </row>
    <row r="17" s="1" customFormat="true" ht="15.75" hidden="false" customHeight="true" outlineLevel="0" collapsed="false">
      <c r="A17" s="17"/>
      <c r="B17" s="17"/>
      <c r="C17" s="36" t="n">
        <v>5</v>
      </c>
      <c r="D17" s="91" t="n">
        <f aca="false">'Data Entry'!D17</f>
        <v>0</v>
      </c>
      <c r="E17" s="37" t="str">
        <f aca="false">IF($E$11="","",IF('Data Entry'!E17="","",IF('Data Entry'!E17='Data Entry'!$D17,1,IF('Data Entry'!$D17="GOOD",0,-1))))</f>
        <v/>
      </c>
      <c r="F17" s="38" t="str">
        <f aca="false">IF($E$11="","",IF('Data Entry'!F17="","",IF('Data Entry'!F17='Data Entry'!$D17,1,IF('Data Entry'!$D17="GOOD",0,-1))))</f>
        <v/>
      </c>
      <c r="G17" s="39" t="str">
        <f aca="false">IF($E$11="","",IF('Data Entry'!G17="","",IF('Data Entry'!G17='Data Entry'!$D17,1,IF('Data Entry'!$D17="GOOD",0,-1))))</f>
        <v/>
      </c>
      <c r="H17" s="37" t="str">
        <f aca="false">IF($H$11="","",IF('Data Entry'!H17="","",IF('Data Entry'!H17='Data Entry'!$D17,1,IF('Data Entry'!$D17="GOOD",0,-1))))</f>
        <v/>
      </c>
      <c r="I17" s="38" t="str">
        <f aca="false">IF($H$11="","",IF('Data Entry'!I17="","",IF('Data Entry'!I17='Data Entry'!$D17,1,IF('Data Entry'!$D17="GOOD",0,-1))))</f>
        <v/>
      </c>
      <c r="J17" s="39" t="str">
        <f aca="false">IF($H$11="","",IF('Data Entry'!J17="","",IF('Data Entry'!J17='Data Entry'!$D17,1,IF('Data Entry'!$D17="GOOD",0,-1))))</f>
        <v/>
      </c>
      <c r="K17" s="37" t="str">
        <f aca="false">IF($H$11="","",IF('Data Entry'!K17="","",IF('Data Entry'!K17='Data Entry'!$D17,1,IF('Data Entry'!$D17="GOOD",0,-1))))</f>
        <v/>
      </c>
      <c r="L17" s="38" t="str">
        <f aca="false">IF($H$11="","",IF('Data Entry'!L17="","",IF('Data Entry'!L17='Data Entry'!$D17,1,IF('Data Entry'!$D17="GOOD",0,-1))))</f>
        <v/>
      </c>
      <c r="M17" s="39" t="str">
        <f aca="false">IF($H$11="","",IF('Data Entry'!M17="","",IF('Data Entry'!M17='Data Entry'!$D17,1,IF('Data Entry'!$D17="GOOD",0,-1))))</f>
        <v/>
      </c>
      <c r="N17" s="37" t="str">
        <f aca="false">IF($H$11="","",IF('Data Entry'!N17="","",IF('Data Entry'!N17='Data Entry'!$D17,1,IF('Data Entry'!$D17="GOOD",0,-1))))</f>
        <v/>
      </c>
      <c r="O17" s="38" t="str">
        <f aca="false">IF($H$11="","",IF('Data Entry'!O17="","",IF('Data Entry'!O17='Data Entry'!$D17,1,IF('Data Entry'!$D17="GOOD",0,-1))))</f>
        <v/>
      </c>
      <c r="P17" s="39" t="str">
        <f aca="false">IF($H$11="","",IF('Data Entry'!P17="","",IF('Data Entry'!P17='Data Entry'!$D17,1,IF('Data Entry'!$D17="GOOD",0,-1))))</f>
        <v/>
      </c>
      <c r="Q17" s="37" t="str">
        <f aca="false">IF($H$11="","",IF('Data Entry'!Q17="","",IF('Data Entry'!Q17='Data Entry'!$D17,1,IF('Data Entry'!$D17="GOOD",0,-1))))</f>
        <v/>
      </c>
      <c r="R17" s="38" t="str">
        <f aca="false">IF($H$11="","",IF('Data Entry'!R17="","",IF('Data Entry'!R17='Data Entry'!$D17,1,IF('Data Entry'!$D17="GOOD",0,-1))))</f>
        <v/>
      </c>
      <c r="S17" s="39" t="str">
        <f aca="false">IF($H$11="","",IF('Data Entry'!S17="","",IF('Data Entry'!S17='Data Entry'!$D17,1,IF('Data Entry'!$D17="GOOD",0,-1))))</f>
        <v/>
      </c>
      <c r="T17" s="37" t="str">
        <f aca="false">IF($H$11="","",IF('Data Entry'!T17="","",IF('Data Entry'!T17='Data Entry'!$D17,1,IF('Data Entry'!$D17="GOOD",0,-1))))</f>
        <v/>
      </c>
      <c r="U17" s="38" t="str">
        <f aca="false">IF($H$11="","",IF('Data Entry'!U17="","",IF('Data Entry'!U17='Data Entry'!$D17,1,IF('Data Entry'!$D17="GOOD",0,-1))))</f>
        <v/>
      </c>
      <c r="V17" s="39" t="str">
        <f aca="false">IF($H$11="","",IF('Data Entry'!V17="","",IF('Data Entry'!V17='Data Entry'!$D17,1,IF('Data Entry'!$D17="GOOD",0,-1))))</f>
        <v/>
      </c>
      <c r="W17" s="37" t="str">
        <f aca="false">IF($H$11="","",IF('Data Entry'!W17="","",IF('Data Entry'!W17='Data Entry'!$D17,1,IF('Data Entry'!$D17="GOOD",0,-1))))</f>
        <v/>
      </c>
      <c r="X17" s="38" t="str">
        <f aca="false">IF($H$11="","",IF('Data Entry'!X17="","",IF('Data Entry'!X17='Data Entry'!$D17,1,IF('Data Entry'!$D17="GOOD",0,-1))))</f>
        <v/>
      </c>
      <c r="Y17" s="39" t="str">
        <f aca="false">IF($H$11="","",IF('Data Entry'!Y17="","",IF('Data Entry'!Y17='Data Entry'!$D17,1,IF('Data Entry'!$D17="GOOD",0,-1))))</f>
        <v/>
      </c>
      <c r="Z17" s="37" t="str">
        <f aca="false">IF($H$11="","",IF('Data Entry'!Z17="","",IF('Data Entry'!Z17='Data Entry'!$D17,1,IF('Data Entry'!$D17="GOOD",0,-1))))</f>
        <v/>
      </c>
      <c r="AA17" s="38" t="str">
        <f aca="false">IF($H$11="","",IF('Data Entry'!AA17="","",IF('Data Entry'!AA17='Data Entry'!$D17,1,IF('Data Entry'!$D17="GOOD",0,-1))))</f>
        <v/>
      </c>
      <c r="AB17" s="39" t="str">
        <f aca="false">IF($H$11="","",IF('Data Entry'!AB17="","",IF('Data Entry'!AB17='Data Entry'!$D17,1,IF('Data Entry'!$D17="GOOD",0,-1))))</f>
        <v/>
      </c>
      <c r="AC17" s="92" t="str">
        <f aca="false">'Data Entry'!AC17</f>
        <v/>
      </c>
      <c r="AD17" s="92" t="str">
        <f aca="false">'Data Entry'!AD17</f>
        <v/>
      </c>
      <c r="AE17" s="17" t="n">
        <f aca="false" t="array" ref="AE17:AE17">SUMPRODUCT((E17:AB17&lt;&gt;1)*(E17:AB17&lt;&gt;""))</f>
        <v>0</v>
      </c>
      <c r="AF17" s="17"/>
      <c r="AG17" s="17"/>
      <c r="AH17" s="17"/>
      <c r="AI17" s="17"/>
      <c r="AJ17" s="17"/>
      <c r="AK17" s="17"/>
      <c r="AL17" s="17"/>
      <c r="AM17" s="17"/>
      <c r="AN17" s="17"/>
    </row>
    <row r="18" s="1" customFormat="true" ht="15.75" hidden="false" customHeight="true" outlineLevel="0" collapsed="false">
      <c r="A18" s="17"/>
      <c r="B18" s="17"/>
      <c r="C18" s="36" t="n">
        <v>6</v>
      </c>
      <c r="D18" s="91" t="n">
        <f aca="false">'Data Entry'!D18</f>
        <v>0</v>
      </c>
      <c r="E18" s="45" t="str">
        <f aca="false">IF($E$11="","",IF('Data Entry'!E18="","",IF('Data Entry'!E18='Data Entry'!$D18,1,IF('Data Entry'!$D18="GOOD",0,-1))))</f>
        <v/>
      </c>
      <c r="F18" s="46" t="str">
        <f aca="false">IF($E$11="","",IF('Data Entry'!F18="","",IF('Data Entry'!F18='Data Entry'!$D18,1,IF('Data Entry'!$D18="GOOD",0,-1))))</f>
        <v/>
      </c>
      <c r="G18" s="47" t="str">
        <f aca="false">IF($E$11="","",IF('Data Entry'!G18="","",IF('Data Entry'!G18='Data Entry'!$D18,1,IF('Data Entry'!$D18="GOOD",0,-1))))</f>
        <v/>
      </c>
      <c r="H18" s="45" t="str">
        <f aca="false">IF($H$11="","",IF('Data Entry'!H18="","",IF('Data Entry'!H18='Data Entry'!$D18,1,IF('Data Entry'!$D18="GOOD",0,-1))))</f>
        <v/>
      </c>
      <c r="I18" s="46" t="str">
        <f aca="false">IF($H$11="","",IF('Data Entry'!I18="","",IF('Data Entry'!I18='Data Entry'!$D18,1,IF('Data Entry'!$D18="GOOD",0,-1))))</f>
        <v/>
      </c>
      <c r="J18" s="47" t="str">
        <f aca="false">IF($H$11="","",IF('Data Entry'!J18="","",IF('Data Entry'!J18='Data Entry'!$D18,1,IF('Data Entry'!$D18="GOOD",0,-1))))</f>
        <v/>
      </c>
      <c r="K18" s="45" t="str">
        <f aca="false">IF($H$11="","",IF('Data Entry'!K18="","",IF('Data Entry'!K18='Data Entry'!$D18,1,IF('Data Entry'!$D18="GOOD",0,-1))))</f>
        <v/>
      </c>
      <c r="L18" s="46" t="str">
        <f aca="false">IF($H$11="","",IF('Data Entry'!L18="","",IF('Data Entry'!L18='Data Entry'!$D18,1,IF('Data Entry'!$D18="GOOD",0,-1))))</f>
        <v/>
      </c>
      <c r="M18" s="47" t="str">
        <f aca="false">IF($H$11="","",IF('Data Entry'!M18="","",IF('Data Entry'!M18='Data Entry'!$D18,1,IF('Data Entry'!$D18="GOOD",0,-1))))</f>
        <v/>
      </c>
      <c r="N18" s="45" t="str">
        <f aca="false">IF($H$11="","",IF('Data Entry'!N18="","",IF('Data Entry'!N18='Data Entry'!$D18,1,IF('Data Entry'!$D18="GOOD",0,-1))))</f>
        <v/>
      </c>
      <c r="O18" s="46" t="str">
        <f aca="false">IF($H$11="","",IF('Data Entry'!O18="","",IF('Data Entry'!O18='Data Entry'!$D18,1,IF('Data Entry'!$D18="GOOD",0,-1))))</f>
        <v/>
      </c>
      <c r="P18" s="47" t="str">
        <f aca="false">IF($H$11="","",IF('Data Entry'!P18="","",IF('Data Entry'!P18='Data Entry'!$D18,1,IF('Data Entry'!$D18="GOOD",0,-1))))</f>
        <v/>
      </c>
      <c r="Q18" s="45" t="str">
        <f aca="false">IF($H$11="","",IF('Data Entry'!Q18="","",IF('Data Entry'!Q18='Data Entry'!$D18,1,IF('Data Entry'!$D18="GOOD",0,-1))))</f>
        <v/>
      </c>
      <c r="R18" s="46" t="str">
        <f aca="false">IF($H$11="","",IF('Data Entry'!R18="","",IF('Data Entry'!R18='Data Entry'!$D18,1,IF('Data Entry'!$D18="GOOD",0,-1))))</f>
        <v/>
      </c>
      <c r="S18" s="47" t="str">
        <f aca="false">IF($H$11="","",IF('Data Entry'!S18="","",IF('Data Entry'!S18='Data Entry'!$D18,1,IF('Data Entry'!$D18="GOOD",0,-1))))</f>
        <v/>
      </c>
      <c r="T18" s="45" t="str">
        <f aca="false">IF($H$11="","",IF('Data Entry'!T18="","",IF('Data Entry'!T18='Data Entry'!$D18,1,IF('Data Entry'!$D18="GOOD",0,-1))))</f>
        <v/>
      </c>
      <c r="U18" s="46" t="str">
        <f aca="false">IF($H$11="","",IF('Data Entry'!U18="","",IF('Data Entry'!U18='Data Entry'!$D18,1,IF('Data Entry'!$D18="GOOD",0,-1))))</f>
        <v/>
      </c>
      <c r="V18" s="47" t="str">
        <f aca="false">IF($H$11="","",IF('Data Entry'!V18="","",IF('Data Entry'!V18='Data Entry'!$D18,1,IF('Data Entry'!$D18="GOOD",0,-1))))</f>
        <v/>
      </c>
      <c r="W18" s="45" t="str">
        <f aca="false">IF($H$11="","",IF('Data Entry'!W18="","",IF('Data Entry'!W18='Data Entry'!$D18,1,IF('Data Entry'!$D18="GOOD",0,-1))))</f>
        <v/>
      </c>
      <c r="X18" s="46" t="str">
        <f aca="false">IF($H$11="","",IF('Data Entry'!X18="","",IF('Data Entry'!X18='Data Entry'!$D18,1,IF('Data Entry'!$D18="GOOD",0,-1))))</f>
        <v/>
      </c>
      <c r="Y18" s="47" t="str">
        <f aca="false">IF($H$11="","",IF('Data Entry'!Y18="","",IF('Data Entry'!Y18='Data Entry'!$D18,1,IF('Data Entry'!$D18="GOOD",0,-1))))</f>
        <v/>
      </c>
      <c r="Z18" s="45" t="str">
        <f aca="false">IF($H$11="","",IF('Data Entry'!Z18="","",IF('Data Entry'!Z18='Data Entry'!$D18,1,IF('Data Entry'!$D18="GOOD",0,-1))))</f>
        <v/>
      </c>
      <c r="AA18" s="46" t="str">
        <f aca="false">IF($H$11="","",IF('Data Entry'!AA18="","",IF('Data Entry'!AA18='Data Entry'!$D18,1,IF('Data Entry'!$D18="GOOD",0,-1))))</f>
        <v/>
      </c>
      <c r="AB18" s="47" t="str">
        <f aca="false">IF($H$11="","",IF('Data Entry'!AB18="","",IF('Data Entry'!AB18='Data Entry'!$D18,1,IF('Data Entry'!$D18="GOOD",0,-1))))</f>
        <v/>
      </c>
      <c r="AC18" s="92" t="str">
        <f aca="false">'Data Entry'!AC18</f>
        <v/>
      </c>
      <c r="AD18" s="92" t="str">
        <f aca="false">'Data Entry'!AD18</f>
        <v/>
      </c>
      <c r="AE18" s="17" t="n">
        <f aca="false" t="array" ref="AE18:AE18">SUMPRODUCT((E18:AB18&lt;&gt;1)*(E18:AB18&lt;&gt;""))</f>
        <v>0</v>
      </c>
      <c r="AF18" s="17"/>
      <c r="AG18" s="17"/>
      <c r="AH18" s="17"/>
      <c r="AI18" s="17"/>
      <c r="AJ18" s="17"/>
      <c r="AK18" s="17"/>
      <c r="AL18" s="17"/>
      <c r="AM18" s="17"/>
      <c r="AN18" s="17"/>
    </row>
    <row r="19" s="1" customFormat="true" ht="15.75" hidden="false" customHeight="true" outlineLevel="0" collapsed="false">
      <c r="A19" s="17"/>
      <c r="B19" s="17"/>
      <c r="C19" s="36" t="n">
        <v>7</v>
      </c>
      <c r="D19" s="91" t="n">
        <f aca="false">'Data Entry'!D19</f>
        <v>0</v>
      </c>
      <c r="E19" s="37" t="str">
        <f aca="false">IF($E$11="","",IF('Data Entry'!E19="","",IF('Data Entry'!E19='Data Entry'!$D19,1,IF('Data Entry'!$D19="GOOD",0,-1))))</f>
        <v/>
      </c>
      <c r="F19" s="38" t="str">
        <f aca="false">IF($E$11="","",IF('Data Entry'!F19="","",IF('Data Entry'!F19='Data Entry'!$D19,1,IF('Data Entry'!$D19="GOOD",0,-1))))</f>
        <v/>
      </c>
      <c r="G19" s="39" t="str">
        <f aca="false">IF($E$11="","",IF('Data Entry'!G19="","",IF('Data Entry'!G19='Data Entry'!$D19,1,IF('Data Entry'!$D19="GOOD",0,-1))))</f>
        <v/>
      </c>
      <c r="H19" s="37" t="str">
        <f aca="false">IF($H$11="","",IF('Data Entry'!H19="","",IF('Data Entry'!H19='Data Entry'!$D19,1,IF('Data Entry'!$D19="GOOD",0,-1))))</f>
        <v/>
      </c>
      <c r="I19" s="38" t="str">
        <f aca="false">IF($H$11="","",IF('Data Entry'!I19="","",IF('Data Entry'!I19='Data Entry'!$D19,1,IF('Data Entry'!$D19="GOOD",0,-1))))</f>
        <v/>
      </c>
      <c r="J19" s="39" t="str">
        <f aca="false">IF($H$11="","",IF('Data Entry'!J19="","",IF('Data Entry'!J19='Data Entry'!$D19,1,IF('Data Entry'!$D19="GOOD",0,-1))))</f>
        <v/>
      </c>
      <c r="K19" s="37" t="str">
        <f aca="false">IF($H$11="","",IF('Data Entry'!K19="","",IF('Data Entry'!K19='Data Entry'!$D19,1,IF('Data Entry'!$D19="GOOD",0,-1))))</f>
        <v/>
      </c>
      <c r="L19" s="38" t="str">
        <f aca="false">IF($H$11="","",IF('Data Entry'!L19="","",IF('Data Entry'!L19='Data Entry'!$D19,1,IF('Data Entry'!$D19="GOOD",0,-1))))</f>
        <v/>
      </c>
      <c r="M19" s="39" t="str">
        <f aca="false">IF($H$11="","",IF('Data Entry'!M19="","",IF('Data Entry'!M19='Data Entry'!$D19,1,IF('Data Entry'!$D19="GOOD",0,-1))))</f>
        <v/>
      </c>
      <c r="N19" s="37" t="str">
        <f aca="false">IF($H$11="","",IF('Data Entry'!N19="","",IF('Data Entry'!N19='Data Entry'!$D19,1,IF('Data Entry'!$D19="GOOD",0,-1))))</f>
        <v/>
      </c>
      <c r="O19" s="38" t="str">
        <f aca="false">IF($H$11="","",IF('Data Entry'!O19="","",IF('Data Entry'!O19='Data Entry'!$D19,1,IF('Data Entry'!$D19="GOOD",0,-1))))</f>
        <v/>
      </c>
      <c r="P19" s="39" t="str">
        <f aca="false">IF($H$11="","",IF('Data Entry'!P19="","",IF('Data Entry'!P19='Data Entry'!$D19,1,IF('Data Entry'!$D19="GOOD",0,-1))))</f>
        <v/>
      </c>
      <c r="Q19" s="37" t="str">
        <f aca="false">IF($H$11="","",IF('Data Entry'!Q19="","",IF('Data Entry'!Q19='Data Entry'!$D19,1,IF('Data Entry'!$D19="GOOD",0,-1))))</f>
        <v/>
      </c>
      <c r="R19" s="38" t="str">
        <f aca="false">IF($H$11="","",IF('Data Entry'!R19="","",IF('Data Entry'!R19='Data Entry'!$D19,1,IF('Data Entry'!$D19="GOOD",0,-1))))</f>
        <v/>
      </c>
      <c r="S19" s="39" t="str">
        <f aca="false">IF($H$11="","",IF('Data Entry'!S19="","",IF('Data Entry'!S19='Data Entry'!$D19,1,IF('Data Entry'!$D19="GOOD",0,-1))))</f>
        <v/>
      </c>
      <c r="T19" s="37" t="str">
        <f aca="false">IF($H$11="","",IF('Data Entry'!T19="","",IF('Data Entry'!T19='Data Entry'!$D19,1,IF('Data Entry'!$D19="GOOD",0,-1))))</f>
        <v/>
      </c>
      <c r="U19" s="38" t="str">
        <f aca="false">IF($H$11="","",IF('Data Entry'!U19="","",IF('Data Entry'!U19='Data Entry'!$D19,1,IF('Data Entry'!$D19="GOOD",0,-1))))</f>
        <v/>
      </c>
      <c r="V19" s="39" t="str">
        <f aca="false">IF($H$11="","",IF('Data Entry'!V19="","",IF('Data Entry'!V19='Data Entry'!$D19,1,IF('Data Entry'!$D19="GOOD",0,-1))))</f>
        <v/>
      </c>
      <c r="W19" s="37" t="str">
        <f aca="false">IF($H$11="","",IF('Data Entry'!W19="","",IF('Data Entry'!W19='Data Entry'!$D19,1,IF('Data Entry'!$D19="GOOD",0,-1))))</f>
        <v/>
      </c>
      <c r="X19" s="38" t="str">
        <f aca="false">IF($H$11="","",IF('Data Entry'!X19="","",IF('Data Entry'!X19='Data Entry'!$D19,1,IF('Data Entry'!$D19="GOOD",0,-1))))</f>
        <v/>
      </c>
      <c r="Y19" s="39" t="str">
        <f aca="false">IF($H$11="","",IF('Data Entry'!Y19="","",IF('Data Entry'!Y19='Data Entry'!$D19,1,IF('Data Entry'!$D19="GOOD",0,-1))))</f>
        <v/>
      </c>
      <c r="Z19" s="37" t="str">
        <f aca="false">IF($H$11="","",IF('Data Entry'!Z19="","",IF('Data Entry'!Z19='Data Entry'!$D19,1,IF('Data Entry'!$D19="GOOD",0,-1))))</f>
        <v/>
      </c>
      <c r="AA19" s="38" t="str">
        <f aca="false">IF($H$11="","",IF('Data Entry'!AA19="","",IF('Data Entry'!AA19='Data Entry'!$D19,1,IF('Data Entry'!$D19="GOOD",0,-1))))</f>
        <v/>
      </c>
      <c r="AB19" s="39" t="str">
        <f aca="false">IF($H$11="","",IF('Data Entry'!AB19="","",IF('Data Entry'!AB19='Data Entry'!$D19,1,IF('Data Entry'!$D19="GOOD",0,-1))))</f>
        <v/>
      </c>
      <c r="AC19" s="92" t="str">
        <f aca="false">'Data Entry'!AC19</f>
        <v/>
      </c>
      <c r="AD19" s="92" t="str">
        <f aca="false">'Data Entry'!AD19</f>
        <v/>
      </c>
      <c r="AE19" s="17" t="n">
        <f aca="false" t="array" ref="AE19:AE19">SUMPRODUCT((E19:AB19&lt;&gt;1)*(E19:AB19&lt;&gt;""))</f>
        <v>0</v>
      </c>
      <c r="AF19" s="17"/>
      <c r="AG19" s="17"/>
      <c r="AH19" s="17"/>
      <c r="AI19" s="17"/>
      <c r="AJ19" s="17"/>
      <c r="AK19" s="17"/>
      <c r="AL19" s="17"/>
      <c r="AM19" s="17"/>
      <c r="AN19" s="17"/>
    </row>
    <row r="20" s="1" customFormat="true" ht="15.75" hidden="false" customHeight="true" outlineLevel="0" collapsed="false">
      <c r="A20" s="17"/>
      <c r="B20" s="17"/>
      <c r="C20" s="36" t="n">
        <v>8</v>
      </c>
      <c r="D20" s="91" t="n">
        <f aca="false">'Data Entry'!D20</f>
        <v>0</v>
      </c>
      <c r="E20" s="37" t="str">
        <f aca="false">IF($E$11="","",IF('Data Entry'!E20="","",IF('Data Entry'!E20='Data Entry'!$D20,1,IF('Data Entry'!$D20="GOOD",0,-1))))</f>
        <v/>
      </c>
      <c r="F20" s="38" t="str">
        <f aca="false">IF($E$11="","",IF('Data Entry'!F20="","",IF('Data Entry'!F20='Data Entry'!$D20,1,IF('Data Entry'!$D20="GOOD",0,-1))))</f>
        <v/>
      </c>
      <c r="G20" s="39" t="str">
        <f aca="false">IF($E$11="","",IF('Data Entry'!G20="","",IF('Data Entry'!G20='Data Entry'!$D20,1,IF('Data Entry'!$D20="GOOD",0,-1))))</f>
        <v/>
      </c>
      <c r="H20" s="37" t="str">
        <f aca="false">IF($H$11="","",IF('Data Entry'!H20="","",IF('Data Entry'!H20='Data Entry'!$D20,1,IF('Data Entry'!$D20="GOOD",0,-1))))</f>
        <v/>
      </c>
      <c r="I20" s="38" t="str">
        <f aca="false">IF($H$11="","",IF('Data Entry'!I20="","",IF('Data Entry'!I20='Data Entry'!$D20,1,IF('Data Entry'!$D20="GOOD",0,-1))))</f>
        <v/>
      </c>
      <c r="J20" s="39" t="str">
        <f aca="false">IF($H$11="","",IF('Data Entry'!J20="","",IF('Data Entry'!J20='Data Entry'!$D20,1,IF('Data Entry'!$D20="GOOD",0,-1))))</f>
        <v/>
      </c>
      <c r="K20" s="37" t="str">
        <f aca="false">IF($H$11="","",IF('Data Entry'!K20="","",IF('Data Entry'!K20='Data Entry'!$D20,1,IF('Data Entry'!$D20="GOOD",0,-1))))</f>
        <v/>
      </c>
      <c r="L20" s="38" t="str">
        <f aca="false">IF($H$11="","",IF('Data Entry'!L20="","",IF('Data Entry'!L20='Data Entry'!$D20,1,IF('Data Entry'!$D20="GOOD",0,-1))))</f>
        <v/>
      </c>
      <c r="M20" s="39" t="str">
        <f aca="false">IF($H$11="","",IF('Data Entry'!M20="","",IF('Data Entry'!M20='Data Entry'!$D20,1,IF('Data Entry'!$D20="GOOD",0,-1))))</f>
        <v/>
      </c>
      <c r="N20" s="37" t="str">
        <f aca="false">IF($H$11="","",IF('Data Entry'!N20="","",IF('Data Entry'!N20='Data Entry'!$D20,1,IF('Data Entry'!$D20="GOOD",0,-1))))</f>
        <v/>
      </c>
      <c r="O20" s="38" t="str">
        <f aca="false">IF($H$11="","",IF('Data Entry'!O20="","",IF('Data Entry'!O20='Data Entry'!$D20,1,IF('Data Entry'!$D20="GOOD",0,-1))))</f>
        <v/>
      </c>
      <c r="P20" s="39" t="str">
        <f aca="false">IF($H$11="","",IF('Data Entry'!P20="","",IF('Data Entry'!P20='Data Entry'!$D20,1,IF('Data Entry'!$D20="GOOD",0,-1))))</f>
        <v/>
      </c>
      <c r="Q20" s="37" t="str">
        <f aca="false">IF($H$11="","",IF('Data Entry'!Q20="","",IF('Data Entry'!Q20='Data Entry'!$D20,1,IF('Data Entry'!$D20="GOOD",0,-1))))</f>
        <v/>
      </c>
      <c r="R20" s="38" t="str">
        <f aca="false">IF($H$11="","",IF('Data Entry'!R20="","",IF('Data Entry'!R20='Data Entry'!$D20,1,IF('Data Entry'!$D20="GOOD",0,-1))))</f>
        <v/>
      </c>
      <c r="S20" s="39" t="str">
        <f aca="false">IF($H$11="","",IF('Data Entry'!S20="","",IF('Data Entry'!S20='Data Entry'!$D20,1,IF('Data Entry'!$D20="GOOD",0,-1))))</f>
        <v/>
      </c>
      <c r="T20" s="37" t="str">
        <f aca="false">IF($H$11="","",IF('Data Entry'!T20="","",IF('Data Entry'!T20='Data Entry'!$D20,1,IF('Data Entry'!$D20="GOOD",0,-1))))</f>
        <v/>
      </c>
      <c r="U20" s="38" t="str">
        <f aca="false">IF($H$11="","",IF('Data Entry'!U20="","",IF('Data Entry'!U20='Data Entry'!$D20,1,IF('Data Entry'!$D20="GOOD",0,-1))))</f>
        <v/>
      </c>
      <c r="V20" s="39" t="str">
        <f aca="false">IF($H$11="","",IF('Data Entry'!V20="","",IF('Data Entry'!V20='Data Entry'!$D20,1,IF('Data Entry'!$D20="GOOD",0,-1))))</f>
        <v/>
      </c>
      <c r="W20" s="37" t="str">
        <f aca="false">IF($H$11="","",IF('Data Entry'!W20="","",IF('Data Entry'!W20='Data Entry'!$D20,1,IF('Data Entry'!$D20="GOOD",0,-1))))</f>
        <v/>
      </c>
      <c r="X20" s="38" t="str">
        <f aca="false">IF($H$11="","",IF('Data Entry'!X20="","",IF('Data Entry'!X20='Data Entry'!$D20,1,IF('Data Entry'!$D20="GOOD",0,-1))))</f>
        <v/>
      </c>
      <c r="Y20" s="39" t="str">
        <f aca="false">IF($H$11="","",IF('Data Entry'!Y20="","",IF('Data Entry'!Y20='Data Entry'!$D20,1,IF('Data Entry'!$D20="GOOD",0,-1))))</f>
        <v/>
      </c>
      <c r="Z20" s="37" t="str">
        <f aca="false">IF($H$11="","",IF('Data Entry'!Z20="","",IF('Data Entry'!Z20='Data Entry'!$D20,1,IF('Data Entry'!$D20="GOOD",0,-1))))</f>
        <v/>
      </c>
      <c r="AA20" s="38" t="str">
        <f aca="false">IF($H$11="","",IF('Data Entry'!AA20="","",IF('Data Entry'!AA20='Data Entry'!$D20,1,IF('Data Entry'!$D20="GOOD",0,-1))))</f>
        <v/>
      </c>
      <c r="AB20" s="39" t="str">
        <f aca="false">IF($H$11="","",IF('Data Entry'!AB20="","",IF('Data Entry'!AB20='Data Entry'!$D20,1,IF('Data Entry'!$D20="GOOD",0,-1))))</f>
        <v/>
      </c>
      <c r="AC20" s="92" t="str">
        <f aca="false">'Data Entry'!AC20</f>
        <v/>
      </c>
      <c r="AD20" s="92" t="str">
        <f aca="false">'Data Entry'!AD20</f>
        <v/>
      </c>
      <c r="AE20" s="17" t="n">
        <f aca="false" t="array" ref="AE20:AE20">SUMPRODUCT((E20:AB20&lt;&gt;1)*(E20:AB20&lt;&gt;""))</f>
        <v>0</v>
      </c>
      <c r="AF20" s="17"/>
      <c r="AG20" s="17"/>
      <c r="AH20" s="17"/>
      <c r="AI20" s="17"/>
      <c r="AJ20" s="17"/>
      <c r="AK20" s="17"/>
      <c r="AL20" s="17"/>
      <c r="AM20" s="17"/>
      <c r="AN20" s="17"/>
    </row>
    <row r="21" s="1" customFormat="true" ht="15.75" hidden="false" customHeight="true" outlineLevel="0" collapsed="false">
      <c r="A21" s="17"/>
      <c r="B21" s="17"/>
      <c r="C21" s="36" t="n">
        <v>9</v>
      </c>
      <c r="D21" s="91" t="n">
        <f aca="false">'Data Entry'!D21</f>
        <v>0</v>
      </c>
      <c r="E21" s="45" t="str">
        <f aca="false">IF($E$11="","",IF('Data Entry'!E21="","",IF('Data Entry'!E21='Data Entry'!$D21,1,IF('Data Entry'!$D21="GOOD",0,-1))))</f>
        <v/>
      </c>
      <c r="F21" s="46" t="str">
        <f aca="false">IF($E$11="","",IF('Data Entry'!F21="","",IF('Data Entry'!F21='Data Entry'!$D21,1,IF('Data Entry'!$D21="GOOD",0,-1))))</f>
        <v/>
      </c>
      <c r="G21" s="47" t="str">
        <f aca="false">IF($E$11="","",IF('Data Entry'!G21="","",IF('Data Entry'!G21='Data Entry'!$D21,1,IF('Data Entry'!$D21="GOOD",0,-1))))</f>
        <v/>
      </c>
      <c r="H21" s="45" t="str">
        <f aca="false">IF($H$11="","",IF('Data Entry'!H21="","",IF('Data Entry'!H21='Data Entry'!$D21,1,IF('Data Entry'!$D21="GOOD",0,-1))))</f>
        <v/>
      </c>
      <c r="I21" s="46" t="str">
        <f aca="false">IF($H$11="","",IF('Data Entry'!I21="","",IF('Data Entry'!I21='Data Entry'!$D21,1,IF('Data Entry'!$D21="GOOD",0,-1))))</f>
        <v/>
      </c>
      <c r="J21" s="47" t="str">
        <f aca="false">IF($H$11="","",IF('Data Entry'!J21="","",IF('Data Entry'!J21='Data Entry'!$D21,1,IF('Data Entry'!$D21="GOOD",0,-1))))</f>
        <v/>
      </c>
      <c r="K21" s="45" t="str">
        <f aca="false">IF($H$11="","",IF('Data Entry'!K21="","",IF('Data Entry'!K21='Data Entry'!$D21,1,IF('Data Entry'!$D21="GOOD",0,-1))))</f>
        <v/>
      </c>
      <c r="L21" s="46" t="str">
        <f aca="false">IF($H$11="","",IF('Data Entry'!L21="","",IF('Data Entry'!L21='Data Entry'!$D21,1,IF('Data Entry'!$D21="GOOD",0,-1))))</f>
        <v/>
      </c>
      <c r="M21" s="47" t="str">
        <f aca="false">IF($H$11="","",IF('Data Entry'!M21="","",IF('Data Entry'!M21='Data Entry'!$D21,1,IF('Data Entry'!$D21="GOOD",0,-1))))</f>
        <v/>
      </c>
      <c r="N21" s="45" t="str">
        <f aca="false">IF($H$11="","",IF('Data Entry'!N21="","",IF('Data Entry'!N21='Data Entry'!$D21,1,IF('Data Entry'!$D21="GOOD",0,-1))))</f>
        <v/>
      </c>
      <c r="O21" s="46" t="str">
        <f aca="false">IF($H$11="","",IF('Data Entry'!O21="","",IF('Data Entry'!O21='Data Entry'!$D21,1,IF('Data Entry'!$D21="GOOD",0,-1))))</f>
        <v/>
      </c>
      <c r="P21" s="47" t="str">
        <f aca="false">IF($H$11="","",IF('Data Entry'!P21="","",IF('Data Entry'!P21='Data Entry'!$D21,1,IF('Data Entry'!$D21="GOOD",0,-1))))</f>
        <v/>
      </c>
      <c r="Q21" s="45" t="str">
        <f aca="false">IF($H$11="","",IF('Data Entry'!Q21="","",IF('Data Entry'!Q21='Data Entry'!$D21,1,IF('Data Entry'!$D21="GOOD",0,-1))))</f>
        <v/>
      </c>
      <c r="R21" s="46" t="str">
        <f aca="false">IF($H$11="","",IF('Data Entry'!R21="","",IF('Data Entry'!R21='Data Entry'!$D21,1,IF('Data Entry'!$D21="GOOD",0,-1))))</f>
        <v/>
      </c>
      <c r="S21" s="47" t="str">
        <f aca="false">IF($H$11="","",IF('Data Entry'!S21="","",IF('Data Entry'!S21='Data Entry'!$D21,1,IF('Data Entry'!$D21="GOOD",0,-1))))</f>
        <v/>
      </c>
      <c r="T21" s="45" t="str">
        <f aca="false">IF($H$11="","",IF('Data Entry'!T21="","",IF('Data Entry'!T21='Data Entry'!$D21,1,IF('Data Entry'!$D21="GOOD",0,-1))))</f>
        <v/>
      </c>
      <c r="U21" s="46" t="str">
        <f aca="false">IF($H$11="","",IF('Data Entry'!U21="","",IF('Data Entry'!U21='Data Entry'!$D21,1,IF('Data Entry'!$D21="GOOD",0,-1))))</f>
        <v/>
      </c>
      <c r="V21" s="47" t="str">
        <f aca="false">IF($H$11="","",IF('Data Entry'!V21="","",IF('Data Entry'!V21='Data Entry'!$D21,1,IF('Data Entry'!$D21="GOOD",0,-1))))</f>
        <v/>
      </c>
      <c r="W21" s="45" t="str">
        <f aca="false">IF($H$11="","",IF('Data Entry'!W21="","",IF('Data Entry'!W21='Data Entry'!$D21,1,IF('Data Entry'!$D21="GOOD",0,-1))))</f>
        <v/>
      </c>
      <c r="X21" s="46" t="str">
        <f aca="false">IF($H$11="","",IF('Data Entry'!X21="","",IF('Data Entry'!X21='Data Entry'!$D21,1,IF('Data Entry'!$D21="GOOD",0,-1))))</f>
        <v/>
      </c>
      <c r="Y21" s="47" t="str">
        <f aca="false">IF($H$11="","",IF('Data Entry'!Y21="","",IF('Data Entry'!Y21='Data Entry'!$D21,1,IF('Data Entry'!$D21="GOOD",0,-1))))</f>
        <v/>
      </c>
      <c r="Z21" s="45" t="str">
        <f aca="false">IF($H$11="","",IF('Data Entry'!Z21="","",IF('Data Entry'!Z21='Data Entry'!$D21,1,IF('Data Entry'!$D21="GOOD",0,-1))))</f>
        <v/>
      </c>
      <c r="AA21" s="46" t="str">
        <f aca="false">IF($H$11="","",IF('Data Entry'!AA21="","",IF('Data Entry'!AA21='Data Entry'!$D21,1,IF('Data Entry'!$D21="GOOD",0,-1))))</f>
        <v/>
      </c>
      <c r="AB21" s="47" t="str">
        <f aca="false">IF($H$11="","",IF('Data Entry'!AB21="","",IF('Data Entry'!AB21='Data Entry'!$D21,1,IF('Data Entry'!$D21="GOOD",0,-1))))</f>
        <v/>
      </c>
      <c r="AC21" s="92" t="str">
        <f aca="false">'Data Entry'!AC21</f>
        <v/>
      </c>
      <c r="AD21" s="92" t="str">
        <f aca="false">'Data Entry'!AD21</f>
        <v/>
      </c>
      <c r="AE21" s="17" t="n">
        <f aca="false" t="array" ref="AE21:AE21">SUMPRODUCT((E21:AB21&lt;&gt;1)*(E21:AB21&lt;&gt;""))</f>
        <v>0</v>
      </c>
      <c r="AF21" s="17"/>
      <c r="AG21" s="17"/>
      <c r="AH21" s="17"/>
      <c r="AI21" s="17"/>
      <c r="AJ21" s="17"/>
      <c r="AK21" s="17"/>
      <c r="AL21" s="17"/>
      <c r="AM21" s="17"/>
      <c r="AN21" s="17"/>
    </row>
    <row r="22" s="1" customFormat="true" ht="15.75" hidden="false" customHeight="true" outlineLevel="0" collapsed="false">
      <c r="A22" s="17"/>
      <c r="B22" s="17"/>
      <c r="C22" s="36" t="n">
        <v>10</v>
      </c>
      <c r="D22" s="91" t="n">
        <f aca="false">'Data Entry'!D22</f>
        <v>0</v>
      </c>
      <c r="E22" s="37" t="str">
        <f aca="false">IF($E$11="","",IF('Data Entry'!E22="","",IF('Data Entry'!E22='Data Entry'!$D22,1,IF('Data Entry'!$D22="GOOD",0,-1))))</f>
        <v/>
      </c>
      <c r="F22" s="38" t="str">
        <f aca="false">IF($E$11="","",IF('Data Entry'!F22="","",IF('Data Entry'!F22='Data Entry'!$D22,1,IF('Data Entry'!$D22="GOOD",0,-1))))</f>
        <v/>
      </c>
      <c r="G22" s="39" t="str">
        <f aca="false">IF($E$11="","",IF('Data Entry'!G22="","",IF('Data Entry'!G22='Data Entry'!$D22,1,IF('Data Entry'!$D22="GOOD",0,-1))))</f>
        <v/>
      </c>
      <c r="H22" s="37" t="str">
        <f aca="false">IF($H$11="","",IF('Data Entry'!H22="","",IF('Data Entry'!H22='Data Entry'!$D22,1,IF('Data Entry'!$D22="GOOD",0,-1))))</f>
        <v/>
      </c>
      <c r="I22" s="38" t="str">
        <f aca="false">IF($H$11="","",IF('Data Entry'!I22="","",IF('Data Entry'!I22='Data Entry'!$D22,1,IF('Data Entry'!$D22="GOOD",0,-1))))</f>
        <v/>
      </c>
      <c r="J22" s="39" t="str">
        <f aca="false">IF($H$11="","",IF('Data Entry'!J22="","",IF('Data Entry'!J22='Data Entry'!$D22,1,IF('Data Entry'!$D22="GOOD",0,-1))))</f>
        <v/>
      </c>
      <c r="K22" s="37" t="str">
        <f aca="false">IF($H$11="","",IF('Data Entry'!K22="","",IF('Data Entry'!K22='Data Entry'!$D22,1,IF('Data Entry'!$D22="GOOD",0,-1))))</f>
        <v/>
      </c>
      <c r="L22" s="38" t="str">
        <f aca="false">IF($H$11="","",IF('Data Entry'!L22="","",IF('Data Entry'!L22='Data Entry'!$D22,1,IF('Data Entry'!$D22="GOOD",0,-1))))</f>
        <v/>
      </c>
      <c r="M22" s="39" t="str">
        <f aca="false">IF($H$11="","",IF('Data Entry'!M22="","",IF('Data Entry'!M22='Data Entry'!$D22,1,IF('Data Entry'!$D22="GOOD",0,-1))))</f>
        <v/>
      </c>
      <c r="N22" s="37" t="str">
        <f aca="false">IF($H$11="","",IF('Data Entry'!N22="","",IF('Data Entry'!N22='Data Entry'!$D22,1,IF('Data Entry'!$D22="GOOD",0,-1))))</f>
        <v/>
      </c>
      <c r="O22" s="38" t="str">
        <f aca="false">IF($H$11="","",IF('Data Entry'!O22="","",IF('Data Entry'!O22='Data Entry'!$D22,1,IF('Data Entry'!$D22="GOOD",0,-1))))</f>
        <v/>
      </c>
      <c r="P22" s="39" t="str">
        <f aca="false">IF($H$11="","",IF('Data Entry'!P22="","",IF('Data Entry'!P22='Data Entry'!$D22,1,IF('Data Entry'!$D22="GOOD",0,-1))))</f>
        <v/>
      </c>
      <c r="Q22" s="37" t="str">
        <f aca="false">IF($H$11="","",IF('Data Entry'!Q22="","",IF('Data Entry'!Q22='Data Entry'!$D22,1,IF('Data Entry'!$D22="GOOD",0,-1))))</f>
        <v/>
      </c>
      <c r="R22" s="38" t="str">
        <f aca="false">IF($H$11="","",IF('Data Entry'!R22="","",IF('Data Entry'!R22='Data Entry'!$D22,1,IF('Data Entry'!$D22="GOOD",0,-1))))</f>
        <v/>
      </c>
      <c r="S22" s="39" t="str">
        <f aca="false">IF($H$11="","",IF('Data Entry'!S22="","",IF('Data Entry'!S22='Data Entry'!$D22,1,IF('Data Entry'!$D22="GOOD",0,-1))))</f>
        <v/>
      </c>
      <c r="T22" s="37" t="str">
        <f aca="false">IF($H$11="","",IF('Data Entry'!T22="","",IF('Data Entry'!T22='Data Entry'!$D22,1,IF('Data Entry'!$D22="GOOD",0,-1))))</f>
        <v/>
      </c>
      <c r="U22" s="38" t="str">
        <f aca="false">IF($H$11="","",IF('Data Entry'!U22="","",IF('Data Entry'!U22='Data Entry'!$D22,1,IF('Data Entry'!$D22="GOOD",0,-1))))</f>
        <v/>
      </c>
      <c r="V22" s="39" t="str">
        <f aca="false">IF($H$11="","",IF('Data Entry'!V22="","",IF('Data Entry'!V22='Data Entry'!$D22,1,IF('Data Entry'!$D22="GOOD",0,-1))))</f>
        <v/>
      </c>
      <c r="W22" s="37" t="str">
        <f aca="false">IF($H$11="","",IF('Data Entry'!W22="","",IF('Data Entry'!W22='Data Entry'!$D22,1,IF('Data Entry'!$D22="GOOD",0,-1))))</f>
        <v/>
      </c>
      <c r="X22" s="38" t="str">
        <f aca="false">IF($H$11="","",IF('Data Entry'!X22="","",IF('Data Entry'!X22='Data Entry'!$D22,1,IF('Data Entry'!$D22="GOOD",0,-1))))</f>
        <v/>
      </c>
      <c r="Y22" s="39" t="str">
        <f aca="false">IF($H$11="","",IF('Data Entry'!Y22="","",IF('Data Entry'!Y22='Data Entry'!$D22,1,IF('Data Entry'!$D22="GOOD",0,-1))))</f>
        <v/>
      </c>
      <c r="Z22" s="37" t="str">
        <f aca="false">IF($H$11="","",IF('Data Entry'!Z22="","",IF('Data Entry'!Z22='Data Entry'!$D22,1,IF('Data Entry'!$D22="GOOD",0,-1))))</f>
        <v/>
      </c>
      <c r="AA22" s="38" t="str">
        <f aca="false">IF($H$11="","",IF('Data Entry'!AA22="","",IF('Data Entry'!AA22='Data Entry'!$D22,1,IF('Data Entry'!$D22="GOOD",0,-1))))</f>
        <v/>
      </c>
      <c r="AB22" s="39" t="str">
        <f aca="false">IF($H$11="","",IF('Data Entry'!AB22="","",IF('Data Entry'!AB22='Data Entry'!$D22,1,IF('Data Entry'!$D22="GOOD",0,-1))))</f>
        <v/>
      </c>
      <c r="AC22" s="92" t="str">
        <f aca="false">'Data Entry'!AC22</f>
        <v/>
      </c>
      <c r="AD22" s="92" t="str">
        <f aca="false">'Data Entry'!AD22</f>
        <v/>
      </c>
      <c r="AE22" s="17" t="n">
        <f aca="false" t="array" ref="AE22:AE22">SUMPRODUCT((E22:AB22&lt;&gt;1)*(E22:AB22&lt;&gt;""))</f>
        <v>0</v>
      </c>
      <c r="AF22" s="17"/>
      <c r="AG22" s="17"/>
      <c r="AH22" s="17"/>
      <c r="AI22" s="17"/>
      <c r="AJ22" s="17"/>
      <c r="AK22" s="17"/>
      <c r="AL22" s="17"/>
      <c r="AM22" s="17"/>
      <c r="AN22" s="17"/>
    </row>
    <row r="23" s="1" customFormat="true" ht="15.75" hidden="false" customHeight="true" outlineLevel="0" collapsed="false">
      <c r="A23" s="17"/>
      <c r="B23" s="17"/>
      <c r="C23" s="36" t="n">
        <v>11</v>
      </c>
      <c r="D23" s="91" t="n">
        <f aca="false">'Data Entry'!D23</f>
        <v>0</v>
      </c>
      <c r="E23" s="45" t="str">
        <f aca="false">IF($E$11="","",IF('Data Entry'!E23="","",IF('Data Entry'!E23='Data Entry'!$D23,1,IF('Data Entry'!$D23="GOOD",0,-1))))</f>
        <v/>
      </c>
      <c r="F23" s="46" t="str">
        <f aca="false">IF($E$11="","",IF('Data Entry'!F23="","",IF('Data Entry'!F23='Data Entry'!$D23,1,IF('Data Entry'!$D23="GOOD",0,-1))))</f>
        <v/>
      </c>
      <c r="G23" s="47" t="str">
        <f aca="false">IF($E$11="","",IF('Data Entry'!G23="","",IF('Data Entry'!G23='Data Entry'!$D23,1,IF('Data Entry'!$D23="GOOD",0,-1))))</f>
        <v/>
      </c>
      <c r="H23" s="45" t="str">
        <f aca="false">IF($H$11="","",IF('Data Entry'!H23="","",IF('Data Entry'!H23='Data Entry'!$D23,1,IF('Data Entry'!$D23="GOOD",0,-1))))</f>
        <v/>
      </c>
      <c r="I23" s="46" t="str">
        <f aca="false">IF($H$11="","",IF('Data Entry'!I23="","",IF('Data Entry'!I23='Data Entry'!$D23,1,IF('Data Entry'!$D23="GOOD",0,-1))))</f>
        <v/>
      </c>
      <c r="J23" s="47" t="str">
        <f aca="false">IF($H$11="","",IF('Data Entry'!J23="","",IF('Data Entry'!J23='Data Entry'!$D23,1,IF('Data Entry'!$D23="GOOD",0,-1))))</f>
        <v/>
      </c>
      <c r="K23" s="45" t="str">
        <f aca="false">IF($H$11="","",IF('Data Entry'!K23="","",IF('Data Entry'!K23='Data Entry'!$D23,1,IF('Data Entry'!$D23="GOOD",0,-1))))</f>
        <v/>
      </c>
      <c r="L23" s="46" t="str">
        <f aca="false">IF($H$11="","",IF('Data Entry'!L23="","",IF('Data Entry'!L23='Data Entry'!$D23,1,IF('Data Entry'!$D23="GOOD",0,-1))))</f>
        <v/>
      </c>
      <c r="M23" s="47" t="str">
        <f aca="false">IF($H$11="","",IF('Data Entry'!M23="","",IF('Data Entry'!M23='Data Entry'!$D23,1,IF('Data Entry'!$D23="GOOD",0,-1))))</f>
        <v/>
      </c>
      <c r="N23" s="45" t="str">
        <f aca="false">IF($H$11="","",IF('Data Entry'!N23="","",IF('Data Entry'!N23='Data Entry'!$D23,1,IF('Data Entry'!$D23="GOOD",0,-1))))</f>
        <v/>
      </c>
      <c r="O23" s="46" t="str">
        <f aca="false">IF($H$11="","",IF('Data Entry'!O23="","",IF('Data Entry'!O23='Data Entry'!$D23,1,IF('Data Entry'!$D23="GOOD",0,-1))))</f>
        <v/>
      </c>
      <c r="P23" s="47" t="str">
        <f aca="false">IF($H$11="","",IF('Data Entry'!P23="","",IF('Data Entry'!P23='Data Entry'!$D23,1,IF('Data Entry'!$D23="GOOD",0,-1))))</f>
        <v/>
      </c>
      <c r="Q23" s="45" t="str">
        <f aca="false">IF($H$11="","",IF('Data Entry'!Q23="","",IF('Data Entry'!Q23='Data Entry'!$D23,1,IF('Data Entry'!$D23="GOOD",0,-1))))</f>
        <v/>
      </c>
      <c r="R23" s="46" t="str">
        <f aca="false">IF($H$11="","",IF('Data Entry'!R23="","",IF('Data Entry'!R23='Data Entry'!$D23,1,IF('Data Entry'!$D23="GOOD",0,-1))))</f>
        <v/>
      </c>
      <c r="S23" s="47" t="str">
        <f aca="false">IF($H$11="","",IF('Data Entry'!S23="","",IF('Data Entry'!S23='Data Entry'!$D23,1,IF('Data Entry'!$D23="GOOD",0,-1))))</f>
        <v/>
      </c>
      <c r="T23" s="45" t="str">
        <f aca="false">IF($H$11="","",IF('Data Entry'!T23="","",IF('Data Entry'!T23='Data Entry'!$D23,1,IF('Data Entry'!$D23="GOOD",0,-1))))</f>
        <v/>
      </c>
      <c r="U23" s="46" t="str">
        <f aca="false">IF($H$11="","",IF('Data Entry'!U23="","",IF('Data Entry'!U23='Data Entry'!$D23,1,IF('Data Entry'!$D23="GOOD",0,-1))))</f>
        <v/>
      </c>
      <c r="V23" s="47" t="str">
        <f aca="false">IF($H$11="","",IF('Data Entry'!V23="","",IF('Data Entry'!V23='Data Entry'!$D23,1,IF('Data Entry'!$D23="GOOD",0,-1))))</f>
        <v/>
      </c>
      <c r="W23" s="45" t="str">
        <f aca="false">IF($H$11="","",IF('Data Entry'!W23="","",IF('Data Entry'!W23='Data Entry'!$D23,1,IF('Data Entry'!$D23="GOOD",0,-1))))</f>
        <v/>
      </c>
      <c r="X23" s="46" t="str">
        <f aca="false">IF($H$11="","",IF('Data Entry'!X23="","",IF('Data Entry'!X23='Data Entry'!$D23,1,IF('Data Entry'!$D23="GOOD",0,-1))))</f>
        <v/>
      </c>
      <c r="Y23" s="47" t="str">
        <f aca="false">IF($H$11="","",IF('Data Entry'!Y23="","",IF('Data Entry'!Y23='Data Entry'!$D23,1,IF('Data Entry'!$D23="GOOD",0,-1))))</f>
        <v/>
      </c>
      <c r="Z23" s="45" t="str">
        <f aca="false">IF($H$11="","",IF('Data Entry'!Z23="","",IF('Data Entry'!Z23='Data Entry'!$D23,1,IF('Data Entry'!$D23="GOOD",0,-1))))</f>
        <v/>
      </c>
      <c r="AA23" s="46" t="str">
        <f aca="false">IF($H$11="","",IF('Data Entry'!AA23="","",IF('Data Entry'!AA23='Data Entry'!$D23,1,IF('Data Entry'!$D23="GOOD",0,-1))))</f>
        <v/>
      </c>
      <c r="AB23" s="47" t="str">
        <f aca="false">IF($H$11="","",IF('Data Entry'!AB23="","",IF('Data Entry'!AB23='Data Entry'!$D23,1,IF('Data Entry'!$D23="GOOD",0,-1))))</f>
        <v/>
      </c>
      <c r="AC23" s="92" t="str">
        <f aca="false">'Data Entry'!AC23</f>
        <v/>
      </c>
      <c r="AD23" s="92" t="str">
        <f aca="false">'Data Entry'!AD23</f>
        <v/>
      </c>
      <c r="AE23" s="17" t="n">
        <f aca="false" t="array" ref="AE23:AE23">SUMPRODUCT((E23:AB23&lt;&gt;1)*(E23:AB23&lt;&gt;""))</f>
        <v>0</v>
      </c>
      <c r="AF23" s="17"/>
      <c r="AG23" s="17"/>
      <c r="AH23" s="17"/>
      <c r="AI23" s="17"/>
      <c r="AJ23" s="17"/>
      <c r="AK23" s="17"/>
      <c r="AL23" s="17"/>
      <c r="AM23" s="17"/>
      <c r="AN23" s="17"/>
    </row>
    <row r="24" s="1" customFormat="true" ht="15.75" hidden="false" customHeight="true" outlineLevel="0" collapsed="false">
      <c r="A24" s="17"/>
      <c r="B24" s="17"/>
      <c r="C24" s="36" t="n">
        <v>12</v>
      </c>
      <c r="D24" s="91" t="n">
        <f aca="false">'Data Entry'!D24</f>
        <v>0</v>
      </c>
      <c r="E24" s="37" t="str">
        <f aca="false">IF($E$11="","",IF('Data Entry'!E24="","",IF('Data Entry'!E24='Data Entry'!$D24,1,IF('Data Entry'!$D24="GOOD",0,-1))))</f>
        <v/>
      </c>
      <c r="F24" s="38" t="str">
        <f aca="false">IF($E$11="","",IF('Data Entry'!F24="","",IF('Data Entry'!F24='Data Entry'!$D24,1,IF('Data Entry'!$D24="GOOD",0,-1))))</f>
        <v/>
      </c>
      <c r="G24" s="39" t="str">
        <f aca="false">IF($E$11="","",IF('Data Entry'!G24="","",IF('Data Entry'!G24='Data Entry'!$D24,1,IF('Data Entry'!$D24="GOOD",0,-1))))</f>
        <v/>
      </c>
      <c r="H24" s="37" t="str">
        <f aca="false">IF($H$11="","",IF('Data Entry'!H24="","",IF('Data Entry'!H24='Data Entry'!$D24,1,IF('Data Entry'!$D24="GOOD",0,-1))))</f>
        <v/>
      </c>
      <c r="I24" s="38" t="str">
        <f aca="false">IF($H$11="","",IF('Data Entry'!I24="","",IF('Data Entry'!I24='Data Entry'!$D24,1,IF('Data Entry'!$D24="GOOD",0,-1))))</f>
        <v/>
      </c>
      <c r="J24" s="39" t="str">
        <f aca="false">IF($H$11="","",IF('Data Entry'!J24="","",IF('Data Entry'!J24='Data Entry'!$D24,1,IF('Data Entry'!$D24="GOOD",0,-1))))</f>
        <v/>
      </c>
      <c r="K24" s="37" t="str">
        <f aca="false">IF($H$11="","",IF('Data Entry'!K24="","",IF('Data Entry'!K24='Data Entry'!$D24,1,IF('Data Entry'!$D24="GOOD",0,-1))))</f>
        <v/>
      </c>
      <c r="L24" s="38" t="str">
        <f aca="false">IF($H$11="","",IF('Data Entry'!L24="","",IF('Data Entry'!L24='Data Entry'!$D24,1,IF('Data Entry'!$D24="GOOD",0,-1))))</f>
        <v/>
      </c>
      <c r="M24" s="39" t="str">
        <f aca="false">IF($H$11="","",IF('Data Entry'!M24="","",IF('Data Entry'!M24='Data Entry'!$D24,1,IF('Data Entry'!$D24="GOOD",0,-1))))</f>
        <v/>
      </c>
      <c r="N24" s="37" t="str">
        <f aca="false">IF($H$11="","",IF('Data Entry'!N24="","",IF('Data Entry'!N24='Data Entry'!$D24,1,IF('Data Entry'!$D24="GOOD",0,-1))))</f>
        <v/>
      </c>
      <c r="O24" s="38" t="str">
        <f aca="false">IF($H$11="","",IF('Data Entry'!O24="","",IF('Data Entry'!O24='Data Entry'!$D24,1,IF('Data Entry'!$D24="GOOD",0,-1))))</f>
        <v/>
      </c>
      <c r="P24" s="39" t="str">
        <f aca="false">IF($H$11="","",IF('Data Entry'!P24="","",IF('Data Entry'!P24='Data Entry'!$D24,1,IF('Data Entry'!$D24="GOOD",0,-1))))</f>
        <v/>
      </c>
      <c r="Q24" s="37" t="str">
        <f aca="false">IF($H$11="","",IF('Data Entry'!Q24="","",IF('Data Entry'!Q24='Data Entry'!$D24,1,IF('Data Entry'!$D24="GOOD",0,-1))))</f>
        <v/>
      </c>
      <c r="R24" s="38" t="str">
        <f aca="false">IF($H$11="","",IF('Data Entry'!R24="","",IF('Data Entry'!R24='Data Entry'!$D24,1,IF('Data Entry'!$D24="GOOD",0,-1))))</f>
        <v/>
      </c>
      <c r="S24" s="39" t="str">
        <f aca="false">IF($H$11="","",IF('Data Entry'!S24="","",IF('Data Entry'!S24='Data Entry'!$D24,1,IF('Data Entry'!$D24="GOOD",0,-1))))</f>
        <v/>
      </c>
      <c r="T24" s="37" t="str">
        <f aca="false">IF($H$11="","",IF('Data Entry'!T24="","",IF('Data Entry'!T24='Data Entry'!$D24,1,IF('Data Entry'!$D24="GOOD",0,-1))))</f>
        <v/>
      </c>
      <c r="U24" s="38" t="str">
        <f aca="false">IF($H$11="","",IF('Data Entry'!U24="","",IF('Data Entry'!U24='Data Entry'!$D24,1,IF('Data Entry'!$D24="GOOD",0,-1))))</f>
        <v/>
      </c>
      <c r="V24" s="39" t="str">
        <f aca="false">IF($H$11="","",IF('Data Entry'!V24="","",IF('Data Entry'!V24='Data Entry'!$D24,1,IF('Data Entry'!$D24="GOOD",0,-1))))</f>
        <v/>
      </c>
      <c r="W24" s="37" t="str">
        <f aca="false">IF($H$11="","",IF('Data Entry'!W24="","",IF('Data Entry'!W24='Data Entry'!$D24,1,IF('Data Entry'!$D24="GOOD",0,-1))))</f>
        <v/>
      </c>
      <c r="X24" s="38" t="str">
        <f aca="false">IF($H$11="","",IF('Data Entry'!X24="","",IF('Data Entry'!X24='Data Entry'!$D24,1,IF('Data Entry'!$D24="GOOD",0,-1))))</f>
        <v/>
      </c>
      <c r="Y24" s="39" t="str">
        <f aca="false">IF($H$11="","",IF('Data Entry'!Y24="","",IF('Data Entry'!Y24='Data Entry'!$D24,1,IF('Data Entry'!$D24="GOOD",0,-1))))</f>
        <v/>
      </c>
      <c r="Z24" s="37" t="str">
        <f aca="false">IF($H$11="","",IF('Data Entry'!Z24="","",IF('Data Entry'!Z24='Data Entry'!$D24,1,IF('Data Entry'!$D24="GOOD",0,-1))))</f>
        <v/>
      </c>
      <c r="AA24" s="38" t="str">
        <f aca="false">IF($H$11="","",IF('Data Entry'!AA24="","",IF('Data Entry'!AA24='Data Entry'!$D24,1,IF('Data Entry'!$D24="GOOD",0,-1))))</f>
        <v/>
      </c>
      <c r="AB24" s="39" t="str">
        <f aca="false">IF($H$11="","",IF('Data Entry'!AB24="","",IF('Data Entry'!AB24='Data Entry'!$D24,1,IF('Data Entry'!$D24="GOOD",0,-1))))</f>
        <v/>
      </c>
      <c r="AC24" s="92" t="str">
        <f aca="false">'Data Entry'!AC24</f>
        <v/>
      </c>
      <c r="AD24" s="92" t="str">
        <f aca="false">'Data Entry'!AD24</f>
        <v/>
      </c>
      <c r="AE24" s="17" t="n">
        <f aca="false" t="array" ref="AE24:AE24">SUMPRODUCT((E24:AB24&lt;&gt;1)*(E24:AB24&lt;&gt;""))</f>
        <v>0</v>
      </c>
      <c r="AF24" s="17"/>
      <c r="AG24" s="17"/>
      <c r="AH24" s="17"/>
      <c r="AI24" s="17"/>
      <c r="AJ24" s="17"/>
      <c r="AK24" s="17"/>
      <c r="AL24" s="17"/>
      <c r="AM24" s="17"/>
      <c r="AN24" s="17"/>
    </row>
    <row r="25" s="1" customFormat="true" ht="15.75" hidden="false" customHeight="true" outlineLevel="0" collapsed="false">
      <c r="A25" s="17"/>
      <c r="B25" s="17"/>
      <c r="C25" s="36" t="n">
        <v>13</v>
      </c>
      <c r="D25" s="91" t="n">
        <f aca="false">'Data Entry'!D25</f>
        <v>0</v>
      </c>
      <c r="E25" s="45" t="str">
        <f aca="false">IF($E$11="","",IF('Data Entry'!E25="","",IF('Data Entry'!E25='Data Entry'!$D25,1,IF('Data Entry'!$D25="GOOD",0,-1))))</f>
        <v/>
      </c>
      <c r="F25" s="46" t="str">
        <f aca="false">IF($E$11="","",IF('Data Entry'!F25="","",IF('Data Entry'!F25='Data Entry'!$D25,1,IF('Data Entry'!$D25="GOOD",0,-1))))</f>
        <v/>
      </c>
      <c r="G25" s="47" t="str">
        <f aca="false">IF($E$11="","",IF('Data Entry'!G25="","",IF('Data Entry'!G25='Data Entry'!$D25,1,IF('Data Entry'!$D25="GOOD",0,-1))))</f>
        <v/>
      </c>
      <c r="H25" s="45" t="str">
        <f aca="false">IF($H$11="","",IF('Data Entry'!H25="","",IF('Data Entry'!H25='Data Entry'!$D25,1,IF('Data Entry'!$D25="GOOD",0,-1))))</f>
        <v/>
      </c>
      <c r="I25" s="46" t="str">
        <f aca="false">IF($H$11="","",IF('Data Entry'!I25="","",IF('Data Entry'!I25='Data Entry'!$D25,1,IF('Data Entry'!$D25="GOOD",0,-1))))</f>
        <v/>
      </c>
      <c r="J25" s="47" t="str">
        <f aca="false">IF($H$11="","",IF('Data Entry'!J25="","",IF('Data Entry'!J25='Data Entry'!$D25,1,IF('Data Entry'!$D25="GOOD",0,-1))))</f>
        <v/>
      </c>
      <c r="K25" s="45" t="str">
        <f aca="false">IF($H$11="","",IF('Data Entry'!K25="","",IF('Data Entry'!K25='Data Entry'!$D25,1,IF('Data Entry'!$D25="GOOD",0,-1))))</f>
        <v/>
      </c>
      <c r="L25" s="46" t="str">
        <f aca="false">IF($H$11="","",IF('Data Entry'!L25="","",IF('Data Entry'!L25='Data Entry'!$D25,1,IF('Data Entry'!$D25="GOOD",0,-1))))</f>
        <v/>
      </c>
      <c r="M25" s="47" t="str">
        <f aca="false">IF($H$11="","",IF('Data Entry'!M25="","",IF('Data Entry'!M25='Data Entry'!$D25,1,IF('Data Entry'!$D25="GOOD",0,-1))))</f>
        <v/>
      </c>
      <c r="N25" s="45" t="str">
        <f aca="false">IF($H$11="","",IF('Data Entry'!N25="","",IF('Data Entry'!N25='Data Entry'!$D25,1,IF('Data Entry'!$D25="GOOD",0,-1))))</f>
        <v/>
      </c>
      <c r="O25" s="46" t="str">
        <f aca="false">IF($H$11="","",IF('Data Entry'!O25="","",IF('Data Entry'!O25='Data Entry'!$D25,1,IF('Data Entry'!$D25="GOOD",0,-1))))</f>
        <v/>
      </c>
      <c r="P25" s="47" t="str">
        <f aca="false">IF($H$11="","",IF('Data Entry'!P25="","",IF('Data Entry'!P25='Data Entry'!$D25,1,IF('Data Entry'!$D25="GOOD",0,-1))))</f>
        <v/>
      </c>
      <c r="Q25" s="45" t="str">
        <f aca="false">IF($H$11="","",IF('Data Entry'!Q25="","",IF('Data Entry'!Q25='Data Entry'!$D25,1,IF('Data Entry'!$D25="GOOD",0,-1))))</f>
        <v/>
      </c>
      <c r="R25" s="46" t="str">
        <f aca="false">IF($H$11="","",IF('Data Entry'!R25="","",IF('Data Entry'!R25='Data Entry'!$D25,1,IF('Data Entry'!$D25="GOOD",0,-1))))</f>
        <v/>
      </c>
      <c r="S25" s="47" t="str">
        <f aca="false">IF($H$11="","",IF('Data Entry'!S25="","",IF('Data Entry'!S25='Data Entry'!$D25,1,IF('Data Entry'!$D25="GOOD",0,-1))))</f>
        <v/>
      </c>
      <c r="T25" s="45" t="str">
        <f aca="false">IF($H$11="","",IF('Data Entry'!T25="","",IF('Data Entry'!T25='Data Entry'!$D25,1,IF('Data Entry'!$D25="GOOD",0,-1))))</f>
        <v/>
      </c>
      <c r="U25" s="46" t="str">
        <f aca="false">IF($H$11="","",IF('Data Entry'!U25="","",IF('Data Entry'!U25='Data Entry'!$D25,1,IF('Data Entry'!$D25="GOOD",0,-1))))</f>
        <v/>
      </c>
      <c r="V25" s="47" t="str">
        <f aca="false">IF($H$11="","",IF('Data Entry'!V25="","",IF('Data Entry'!V25='Data Entry'!$D25,1,IF('Data Entry'!$D25="GOOD",0,-1))))</f>
        <v/>
      </c>
      <c r="W25" s="45" t="str">
        <f aca="false">IF($H$11="","",IF('Data Entry'!W25="","",IF('Data Entry'!W25='Data Entry'!$D25,1,IF('Data Entry'!$D25="GOOD",0,-1))))</f>
        <v/>
      </c>
      <c r="X25" s="46" t="str">
        <f aca="false">IF($H$11="","",IF('Data Entry'!X25="","",IF('Data Entry'!X25='Data Entry'!$D25,1,IF('Data Entry'!$D25="GOOD",0,-1))))</f>
        <v/>
      </c>
      <c r="Y25" s="47" t="str">
        <f aca="false">IF($H$11="","",IF('Data Entry'!Y25="","",IF('Data Entry'!Y25='Data Entry'!$D25,1,IF('Data Entry'!$D25="GOOD",0,-1))))</f>
        <v/>
      </c>
      <c r="Z25" s="45" t="str">
        <f aca="false">IF($H$11="","",IF('Data Entry'!Z25="","",IF('Data Entry'!Z25='Data Entry'!$D25,1,IF('Data Entry'!$D25="GOOD",0,-1))))</f>
        <v/>
      </c>
      <c r="AA25" s="46" t="str">
        <f aca="false">IF($H$11="","",IF('Data Entry'!AA25="","",IF('Data Entry'!AA25='Data Entry'!$D25,1,IF('Data Entry'!$D25="GOOD",0,-1))))</f>
        <v/>
      </c>
      <c r="AB25" s="47" t="str">
        <f aca="false">IF($H$11="","",IF('Data Entry'!AB25="","",IF('Data Entry'!AB25='Data Entry'!$D25,1,IF('Data Entry'!$D25="GOOD",0,-1))))</f>
        <v/>
      </c>
      <c r="AC25" s="92" t="str">
        <f aca="false">'Data Entry'!AC25</f>
        <v/>
      </c>
      <c r="AD25" s="92" t="str">
        <f aca="false">'Data Entry'!AD25</f>
        <v/>
      </c>
      <c r="AE25" s="17" t="n">
        <f aca="false" t="array" ref="AE25:AE25">SUMPRODUCT((E25:AB25&lt;&gt;1)*(E25:AB25&lt;&gt;""))</f>
        <v>0</v>
      </c>
      <c r="AF25" s="17"/>
      <c r="AG25" s="17"/>
      <c r="AH25" s="17"/>
      <c r="AI25" s="17"/>
      <c r="AJ25" s="17"/>
      <c r="AK25" s="17"/>
      <c r="AL25" s="17"/>
      <c r="AM25" s="17"/>
      <c r="AN25" s="17"/>
    </row>
    <row r="26" s="1" customFormat="true" ht="15.75" hidden="false" customHeight="true" outlineLevel="0" collapsed="false">
      <c r="A26" s="17"/>
      <c r="B26" s="17"/>
      <c r="C26" s="36" t="n">
        <v>14</v>
      </c>
      <c r="D26" s="91" t="n">
        <f aca="false">'Data Entry'!D26</f>
        <v>0</v>
      </c>
      <c r="E26" s="37" t="str">
        <f aca="false">IF($E$11="","",IF('Data Entry'!E26="","",IF('Data Entry'!E26='Data Entry'!$D26,1,IF('Data Entry'!$D26="GOOD",0,-1))))</f>
        <v/>
      </c>
      <c r="F26" s="38" t="str">
        <f aca="false">IF($E$11="","",IF('Data Entry'!F26="","",IF('Data Entry'!F26='Data Entry'!$D26,1,IF('Data Entry'!$D26="GOOD",0,-1))))</f>
        <v/>
      </c>
      <c r="G26" s="39" t="str">
        <f aca="false">IF($E$11="","",IF('Data Entry'!G26="","",IF('Data Entry'!G26='Data Entry'!$D26,1,IF('Data Entry'!$D26="GOOD",0,-1))))</f>
        <v/>
      </c>
      <c r="H26" s="37" t="str">
        <f aca="false">IF($H$11="","",IF('Data Entry'!H26="","",IF('Data Entry'!H26='Data Entry'!$D26,1,IF('Data Entry'!$D26="GOOD",0,-1))))</f>
        <v/>
      </c>
      <c r="I26" s="38" t="str">
        <f aca="false">IF($H$11="","",IF('Data Entry'!I26="","",IF('Data Entry'!I26='Data Entry'!$D26,1,IF('Data Entry'!$D26="GOOD",0,-1))))</f>
        <v/>
      </c>
      <c r="J26" s="39" t="str">
        <f aca="false">IF($H$11="","",IF('Data Entry'!J26="","",IF('Data Entry'!J26='Data Entry'!$D26,1,IF('Data Entry'!$D26="GOOD",0,-1))))</f>
        <v/>
      </c>
      <c r="K26" s="37" t="str">
        <f aca="false">IF($H$11="","",IF('Data Entry'!K26="","",IF('Data Entry'!K26='Data Entry'!$D26,1,IF('Data Entry'!$D26="GOOD",0,-1))))</f>
        <v/>
      </c>
      <c r="L26" s="38" t="str">
        <f aca="false">IF($H$11="","",IF('Data Entry'!L26="","",IF('Data Entry'!L26='Data Entry'!$D26,1,IF('Data Entry'!$D26="GOOD",0,-1))))</f>
        <v/>
      </c>
      <c r="M26" s="39" t="str">
        <f aca="false">IF($H$11="","",IF('Data Entry'!M26="","",IF('Data Entry'!M26='Data Entry'!$D26,1,IF('Data Entry'!$D26="GOOD",0,-1))))</f>
        <v/>
      </c>
      <c r="N26" s="37" t="str">
        <f aca="false">IF($H$11="","",IF('Data Entry'!N26="","",IF('Data Entry'!N26='Data Entry'!$D26,1,IF('Data Entry'!$D26="GOOD",0,-1))))</f>
        <v/>
      </c>
      <c r="O26" s="38" t="str">
        <f aca="false">IF($H$11="","",IF('Data Entry'!O26="","",IF('Data Entry'!O26='Data Entry'!$D26,1,IF('Data Entry'!$D26="GOOD",0,-1))))</f>
        <v/>
      </c>
      <c r="P26" s="39" t="str">
        <f aca="false">IF($H$11="","",IF('Data Entry'!P26="","",IF('Data Entry'!P26='Data Entry'!$D26,1,IF('Data Entry'!$D26="GOOD",0,-1))))</f>
        <v/>
      </c>
      <c r="Q26" s="37" t="str">
        <f aca="false">IF($H$11="","",IF('Data Entry'!Q26="","",IF('Data Entry'!Q26='Data Entry'!$D26,1,IF('Data Entry'!$D26="GOOD",0,-1))))</f>
        <v/>
      </c>
      <c r="R26" s="38" t="str">
        <f aca="false">IF($H$11="","",IF('Data Entry'!R26="","",IF('Data Entry'!R26='Data Entry'!$D26,1,IF('Data Entry'!$D26="GOOD",0,-1))))</f>
        <v/>
      </c>
      <c r="S26" s="39" t="str">
        <f aca="false">IF($H$11="","",IF('Data Entry'!S26="","",IF('Data Entry'!S26='Data Entry'!$D26,1,IF('Data Entry'!$D26="GOOD",0,-1))))</f>
        <v/>
      </c>
      <c r="T26" s="37" t="str">
        <f aca="false">IF($H$11="","",IF('Data Entry'!T26="","",IF('Data Entry'!T26='Data Entry'!$D26,1,IF('Data Entry'!$D26="GOOD",0,-1))))</f>
        <v/>
      </c>
      <c r="U26" s="38" t="str">
        <f aca="false">IF($H$11="","",IF('Data Entry'!U26="","",IF('Data Entry'!U26='Data Entry'!$D26,1,IF('Data Entry'!$D26="GOOD",0,-1))))</f>
        <v/>
      </c>
      <c r="V26" s="39" t="str">
        <f aca="false">IF($H$11="","",IF('Data Entry'!V26="","",IF('Data Entry'!V26='Data Entry'!$D26,1,IF('Data Entry'!$D26="GOOD",0,-1))))</f>
        <v/>
      </c>
      <c r="W26" s="37" t="str">
        <f aca="false">IF($H$11="","",IF('Data Entry'!W26="","",IF('Data Entry'!W26='Data Entry'!$D26,1,IF('Data Entry'!$D26="GOOD",0,-1))))</f>
        <v/>
      </c>
      <c r="X26" s="38" t="str">
        <f aca="false">IF($H$11="","",IF('Data Entry'!X26="","",IF('Data Entry'!X26='Data Entry'!$D26,1,IF('Data Entry'!$D26="GOOD",0,-1))))</f>
        <v/>
      </c>
      <c r="Y26" s="39" t="str">
        <f aca="false">IF($H$11="","",IF('Data Entry'!Y26="","",IF('Data Entry'!Y26='Data Entry'!$D26,1,IF('Data Entry'!$D26="GOOD",0,-1))))</f>
        <v/>
      </c>
      <c r="Z26" s="37" t="str">
        <f aca="false">IF($H$11="","",IF('Data Entry'!Z26="","",IF('Data Entry'!Z26='Data Entry'!$D26,1,IF('Data Entry'!$D26="GOOD",0,-1))))</f>
        <v/>
      </c>
      <c r="AA26" s="38" t="str">
        <f aca="false">IF($H$11="","",IF('Data Entry'!AA26="","",IF('Data Entry'!AA26='Data Entry'!$D26,1,IF('Data Entry'!$D26="GOOD",0,-1))))</f>
        <v/>
      </c>
      <c r="AB26" s="39" t="str">
        <f aca="false">IF($H$11="","",IF('Data Entry'!AB26="","",IF('Data Entry'!AB26='Data Entry'!$D26,1,IF('Data Entry'!$D26="GOOD",0,-1))))</f>
        <v/>
      </c>
      <c r="AC26" s="92" t="str">
        <f aca="false">'Data Entry'!AC26</f>
        <v/>
      </c>
      <c r="AD26" s="92" t="str">
        <f aca="false">'Data Entry'!AD26</f>
        <v/>
      </c>
      <c r="AE26" s="17" t="n">
        <f aca="false" t="array" ref="AE26:AE26">SUMPRODUCT((E26:AB26&lt;&gt;1)*(E26:AB26&lt;&gt;""))</f>
        <v>0</v>
      </c>
      <c r="AF26" s="17"/>
      <c r="AG26" s="17"/>
      <c r="AH26" s="17"/>
      <c r="AI26" s="17"/>
      <c r="AJ26" s="17"/>
      <c r="AK26" s="17"/>
      <c r="AL26" s="17"/>
      <c r="AM26" s="17"/>
      <c r="AN26" s="17"/>
    </row>
    <row r="27" s="1" customFormat="true" ht="15.75" hidden="false" customHeight="true" outlineLevel="0" collapsed="false">
      <c r="A27" s="17"/>
      <c r="B27" s="17"/>
      <c r="C27" s="36" t="n">
        <v>15</v>
      </c>
      <c r="D27" s="91" t="n">
        <f aca="false">'Data Entry'!D27</f>
        <v>0</v>
      </c>
      <c r="E27" s="45" t="str">
        <f aca="false">IF($E$11="","",IF('Data Entry'!E27="","",IF('Data Entry'!E27='Data Entry'!$D27,1,IF('Data Entry'!$D27="GOOD",0,-1))))</f>
        <v/>
      </c>
      <c r="F27" s="46" t="str">
        <f aca="false">IF($E$11="","",IF('Data Entry'!F27="","",IF('Data Entry'!F27='Data Entry'!$D27,1,IF('Data Entry'!$D27="GOOD",0,-1))))</f>
        <v/>
      </c>
      <c r="G27" s="47" t="str">
        <f aca="false">IF($E$11="","",IF('Data Entry'!G27="","",IF('Data Entry'!G27='Data Entry'!$D27,1,IF('Data Entry'!$D27="GOOD",0,-1))))</f>
        <v/>
      </c>
      <c r="H27" s="45" t="str">
        <f aca="false">IF($H$11="","",IF('Data Entry'!H27="","",IF('Data Entry'!H27='Data Entry'!$D27,1,IF('Data Entry'!$D27="GOOD",0,-1))))</f>
        <v/>
      </c>
      <c r="I27" s="46" t="str">
        <f aca="false">IF($H$11="","",IF('Data Entry'!I27="","",IF('Data Entry'!I27='Data Entry'!$D27,1,IF('Data Entry'!$D27="GOOD",0,-1))))</f>
        <v/>
      </c>
      <c r="J27" s="47" t="str">
        <f aca="false">IF($H$11="","",IF('Data Entry'!J27="","",IF('Data Entry'!J27='Data Entry'!$D27,1,IF('Data Entry'!$D27="GOOD",0,-1))))</f>
        <v/>
      </c>
      <c r="K27" s="45" t="str">
        <f aca="false">IF($H$11="","",IF('Data Entry'!K27="","",IF('Data Entry'!K27='Data Entry'!$D27,1,IF('Data Entry'!$D27="GOOD",0,-1))))</f>
        <v/>
      </c>
      <c r="L27" s="46" t="str">
        <f aca="false">IF($H$11="","",IF('Data Entry'!L27="","",IF('Data Entry'!L27='Data Entry'!$D27,1,IF('Data Entry'!$D27="GOOD",0,-1))))</f>
        <v/>
      </c>
      <c r="M27" s="47" t="str">
        <f aca="false">IF($H$11="","",IF('Data Entry'!M27="","",IF('Data Entry'!M27='Data Entry'!$D27,1,IF('Data Entry'!$D27="GOOD",0,-1))))</f>
        <v/>
      </c>
      <c r="N27" s="45" t="str">
        <f aca="false">IF($H$11="","",IF('Data Entry'!N27="","",IF('Data Entry'!N27='Data Entry'!$D27,1,IF('Data Entry'!$D27="GOOD",0,-1))))</f>
        <v/>
      </c>
      <c r="O27" s="46" t="str">
        <f aca="false">IF($H$11="","",IF('Data Entry'!O27="","",IF('Data Entry'!O27='Data Entry'!$D27,1,IF('Data Entry'!$D27="GOOD",0,-1))))</f>
        <v/>
      </c>
      <c r="P27" s="47" t="str">
        <f aca="false">IF($H$11="","",IF('Data Entry'!P27="","",IF('Data Entry'!P27='Data Entry'!$D27,1,IF('Data Entry'!$D27="GOOD",0,-1))))</f>
        <v/>
      </c>
      <c r="Q27" s="45" t="str">
        <f aca="false">IF($H$11="","",IF('Data Entry'!Q27="","",IF('Data Entry'!Q27='Data Entry'!$D27,1,IF('Data Entry'!$D27="GOOD",0,-1))))</f>
        <v/>
      </c>
      <c r="R27" s="46" t="str">
        <f aca="false">IF($H$11="","",IF('Data Entry'!R27="","",IF('Data Entry'!R27='Data Entry'!$D27,1,IF('Data Entry'!$D27="GOOD",0,-1))))</f>
        <v/>
      </c>
      <c r="S27" s="47" t="str">
        <f aca="false">IF($H$11="","",IF('Data Entry'!S27="","",IF('Data Entry'!S27='Data Entry'!$D27,1,IF('Data Entry'!$D27="GOOD",0,-1))))</f>
        <v/>
      </c>
      <c r="T27" s="45" t="str">
        <f aca="false">IF($H$11="","",IF('Data Entry'!T27="","",IF('Data Entry'!T27='Data Entry'!$D27,1,IF('Data Entry'!$D27="GOOD",0,-1))))</f>
        <v/>
      </c>
      <c r="U27" s="46" t="str">
        <f aca="false">IF($H$11="","",IF('Data Entry'!U27="","",IF('Data Entry'!U27='Data Entry'!$D27,1,IF('Data Entry'!$D27="GOOD",0,-1))))</f>
        <v/>
      </c>
      <c r="V27" s="47" t="str">
        <f aca="false">IF($H$11="","",IF('Data Entry'!V27="","",IF('Data Entry'!V27='Data Entry'!$D27,1,IF('Data Entry'!$D27="GOOD",0,-1))))</f>
        <v/>
      </c>
      <c r="W27" s="45" t="str">
        <f aca="false">IF($H$11="","",IF('Data Entry'!W27="","",IF('Data Entry'!W27='Data Entry'!$D27,1,IF('Data Entry'!$D27="GOOD",0,-1))))</f>
        <v/>
      </c>
      <c r="X27" s="46" t="str">
        <f aca="false">IF($H$11="","",IF('Data Entry'!X27="","",IF('Data Entry'!X27='Data Entry'!$D27,1,IF('Data Entry'!$D27="GOOD",0,-1))))</f>
        <v/>
      </c>
      <c r="Y27" s="47" t="str">
        <f aca="false">IF($H$11="","",IF('Data Entry'!Y27="","",IF('Data Entry'!Y27='Data Entry'!$D27,1,IF('Data Entry'!$D27="GOOD",0,-1))))</f>
        <v/>
      </c>
      <c r="Z27" s="45" t="str">
        <f aca="false">IF($H$11="","",IF('Data Entry'!Z27="","",IF('Data Entry'!Z27='Data Entry'!$D27,1,IF('Data Entry'!$D27="GOOD",0,-1))))</f>
        <v/>
      </c>
      <c r="AA27" s="46" t="str">
        <f aca="false">IF($H$11="","",IF('Data Entry'!AA27="","",IF('Data Entry'!AA27='Data Entry'!$D27,1,IF('Data Entry'!$D27="GOOD",0,-1))))</f>
        <v/>
      </c>
      <c r="AB27" s="47" t="str">
        <f aca="false">IF($H$11="","",IF('Data Entry'!AB27="","",IF('Data Entry'!AB27='Data Entry'!$D27,1,IF('Data Entry'!$D27="GOOD",0,-1))))</f>
        <v/>
      </c>
      <c r="AC27" s="92" t="str">
        <f aca="false">'Data Entry'!AC27</f>
        <v/>
      </c>
      <c r="AD27" s="92" t="str">
        <f aca="false">'Data Entry'!AD27</f>
        <v/>
      </c>
      <c r="AE27" s="17" t="n">
        <f aca="false" t="array" ref="AE27:AE27">SUMPRODUCT((E27:AB27&lt;&gt;1)*(E27:AB27&lt;&gt;""))</f>
        <v>0</v>
      </c>
      <c r="AF27" s="17"/>
      <c r="AG27" s="17"/>
      <c r="AH27" s="17"/>
      <c r="AI27" s="17"/>
      <c r="AJ27" s="17"/>
      <c r="AK27" s="17"/>
      <c r="AL27" s="17"/>
      <c r="AM27" s="17"/>
      <c r="AN27" s="17"/>
    </row>
    <row r="28" s="1" customFormat="true" ht="15.75" hidden="false" customHeight="true" outlineLevel="0" collapsed="false">
      <c r="A28" s="17"/>
      <c r="B28" s="17"/>
      <c r="C28" s="36" t="n">
        <v>16</v>
      </c>
      <c r="D28" s="91" t="n">
        <f aca="false">'Data Entry'!D28</f>
        <v>0</v>
      </c>
      <c r="E28" s="37" t="str">
        <f aca="false">IF($E$11="","",IF('Data Entry'!E28="","",IF('Data Entry'!E28='Data Entry'!$D28,1,IF('Data Entry'!$D28="GOOD",0,-1))))</f>
        <v/>
      </c>
      <c r="F28" s="38" t="str">
        <f aca="false">IF($E$11="","",IF('Data Entry'!F28="","",IF('Data Entry'!F28='Data Entry'!$D28,1,IF('Data Entry'!$D28="GOOD",0,-1))))</f>
        <v/>
      </c>
      <c r="G28" s="39" t="str">
        <f aca="false">IF($E$11="","",IF('Data Entry'!G28="","",IF('Data Entry'!G28='Data Entry'!$D28,1,IF('Data Entry'!$D28="GOOD",0,-1))))</f>
        <v/>
      </c>
      <c r="H28" s="37" t="str">
        <f aca="false">IF($H$11="","",IF('Data Entry'!H28="","",IF('Data Entry'!H28='Data Entry'!$D28,1,IF('Data Entry'!$D28="GOOD",0,-1))))</f>
        <v/>
      </c>
      <c r="I28" s="38" t="str">
        <f aca="false">IF($H$11="","",IF('Data Entry'!I28="","",IF('Data Entry'!I28='Data Entry'!$D28,1,IF('Data Entry'!$D28="GOOD",0,-1))))</f>
        <v/>
      </c>
      <c r="J28" s="39" t="str">
        <f aca="false">IF($H$11="","",IF('Data Entry'!J28="","",IF('Data Entry'!J28='Data Entry'!$D28,1,IF('Data Entry'!$D28="GOOD",0,-1))))</f>
        <v/>
      </c>
      <c r="K28" s="37" t="str">
        <f aca="false">IF($H$11="","",IF('Data Entry'!K28="","",IF('Data Entry'!K28='Data Entry'!$D28,1,IF('Data Entry'!$D28="GOOD",0,-1))))</f>
        <v/>
      </c>
      <c r="L28" s="38" t="str">
        <f aca="false">IF($H$11="","",IF('Data Entry'!L28="","",IF('Data Entry'!L28='Data Entry'!$D28,1,IF('Data Entry'!$D28="GOOD",0,-1))))</f>
        <v/>
      </c>
      <c r="M28" s="39" t="str">
        <f aca="false">IF($H$11="","",IF('Data Entry'!M28="","",IF('Data Entry'!M28='Data Entry'!$D28,1,IF('Data Entry'!$D28="GOOD",0,-1))))</f>
        <v/>
      </c>
      <c r="N28" s="37" t="str">
        <f aca="false">IF($H$11="","",IF('Data Entry'!N28="","",IF('Data Entry'!N28='Data Entry'!$D28,1,IF('Data Entry'!$D28="GOOD",0,-1))))</f>
        <v/>
      </c>
      <c r="O28" s="38" t="str">
        <f aca="false">IF($H$11="","",IF('Data Entry'!O28="","",IF('Data Entry'!O28='Data Entry'!$D28,1,IF('Data Entry'!$D28="GOOD",0,-1))))</f>
        <v/>
      </c>
      <c r="P28" s="39" t="str">
        <f aca="false">IF($H$11="","",IF('Data Entry'!P28="","",IF('Data Entry'!P28='Data Entry'!$D28,1,IF('Data Entry'!$D28="GOOD",0,-1))))</f>
        <v/>
      </c>
      <c r="Q28" s="37" t="str">
        <f aca="false">IF($H$11="","",IF('Data Entry'!Q28="","",IF('Data Entry'!Q28='Data Entry'!$D28,1,IF('Data Entry'!$D28="GOOD",0,-1))))</f>
        <v/>
      </c>
      <c r="R28" s="38" t="str">
        <f aca="false">IF($H$11="","",IF('Data Entry'!R28="","",IF('Data Entry'!R28='Data Entry'!$D28,1,IF('Data Entry'!$D28="GOOD",0,-1))))</f>
        <v/>
      </c>
      <c r="S28" s="39" t="str">
        <f aca="false">IF($H$11="","",IF('Data Entry'!S28="","",IF('Data Entry'!S28='Data Entry'!$D28,1,IF('Data Entry'!$D28="GOOD",0,-1))))</f>
        <v/>
      </c>
      <c r="T28" s="37" t="str">
        <f aca="false">IF($H$11="","",IF('Data Entry'!T28="","",IF('Data Entry'!T28='Data Entry'!$D28,1,IF('Data Entry'!$D28="GOOD",0,-1))))</f>
        <v/>
      </c>
      <c r="U28" s="38" t="str">
        <f aca="false">IF($H$11="","",IF('Data Entry'!U28="","",IF('Data Entry'!U28='Data Entry'!$D28,1,IF('Data Entry'!$D28="GOOD",0,-1))))</f>
        <v/>
      </c>
      <c r="V28" s="39" t="str">
        <f aca="false">IF($H$11="","",IF('Data Entry'!V28="","",IF('Data Entry'!V28='Data Entry'!$D28,1,IF('Data Entry'!$D28="GOOD",0,-1))))</f>
        <v/>
      </c>
      <c r="W28" s="37" t="str">
        <f aca="false">IF($H$11="","",IF('Data Entry'!W28="","",IF('Data Entry'!W28='Data Entry'!$D28,1,IF('Data Entry'!$D28="GOOD",0,-1))))</f>
        <v/>
      </c>
      <c r="X28" s="38" t="str">
        <f aca="false">IF($H$11="","",IF('Data Entry'!X28="","",IF('Data Entry'!X28='Data Entry'!$D28,1,IF('Data Entry'!$D28="GOOD",0,-1))))</f>
        <v/>
      </c>
      <c r="Y28" s="39" t="str">
        <f aca="false">IF($H$11="","",IF('Data Entry'!Y28="","",IF('Data Entry'!Y28='Data Entry'!$D28,1,IF('Data Entry'!$D28="GOOD",0,-1))))</f>
        <v/>
      </c>
      <c r="Z28" s="37" t="str">
        <f aca="false">IF($H$11="","",IF('Data Entry'!Z28="","",IF('Data Entry'!Z28='Data Entry'!$D28,1,IF('Data Entry'!$D28="GOOD",0,-1))))</f>
        <v/>
      </c>
      <c r="AA28" s="38" t="str">
        <f aca="false">IF($H$11="","",IF('Data Entry'!AA28="","",IF('Data Entry'!AA28='Data Entry'!$D28,1,IF('Data Entry'!$D28="GOOD",0,-1))))</f>
        <v/>
      </c>
      <c r="AB28" s="39" t="str">
        <f aca="false">IF($H$11="","",IF('Data Entry'!AB28="","",IF('Data Entry'!AB28='Data Entry'!$D28,1,IF('Data Entry'!$D28="GOOD",0,-1))))</f>
        <v/>
      </c>
      <c r="AC28" s="92" t="str">
        <f aca="false">'Data Entry'!AC28</f>
        <v/>
      </c>
      <c r="AD28" s="92" t="str">
        <f aca="false">'Data Entry'!AD28</f>
        <v/>
      </c>
      <c r="AE28" s="17" t="n">
        <f aca="false" t="array" ref="AE28:AE28">SUMPRODUCT((E28:AB28&lt;&gt;1)*(E28:AB28&lt;&gt;""))</f>
        <v>0</v>
      </c>
      <c r="AF28" s="17"/>
      <c r="AG28" s="17"/>
      <c r="AH28" s="17"/>
      <c r="AI28" s="17"/>
      <c r="AJ28" s="17"/>
      <c r="AK28" s="17"/>
      <c r="AL28" s="17"/>
      <c r="AM28" s="17"/>
      <c r="AN28" s="17"/>
    </row>
    <row r="29" s="1" customFormat="true" ht="15.75" hidden="false" customHeight="true" outlineLevel="0" collapsed="false">
      <c r="A29" s="17"/>
      <c r="B29" s="17"/>
      <c r="C29" s="36" t="n">
        <v>17</v>
      </c>
      <c r="D29" s="91" t="n">
        <f aca="false">'Data Entry'!D29</f>
        <v>0</v>
      </c>
      <c r="E29" s="37" t="str">
        <f aca="false">IF($E$11="","",IF('Data Entry'!E29="","",IF('Data Entry'!E29='Data Entry'!$D29,1,IF('Data Entry'!$D29="GOOD",0,-1))))</f>
        <v/>
      </c>
      <c r="F29" s="38" t="str">
        <f aca="false">IF($E$11="","",IF('Data Entry'!F29="","",IF('Data Entry'!F29='Data Entry'!$D29,1,IF('Data Entry'!$D29="GOOD",0,-1))))</f>
        <v/>
      </c>
      <c r="G29" s="39" t="str">
        <f aca="false">IF($E$11="","",IF('Data Entry'!G29="","",IF('Data Entry'!G29='Data Entry'!$D29,1,IF('Data Entry'!$D29="GOOD",0,-1))))</f>
        <v/>
      </c>
      <c r="H29" s="37" t="str">
        <f aca="false">IF($H$11="","",IF('Data Entry'!H29="","",IF('Data Entry'!H29='Data Entry'!$D29,1,IF('Data Entry'!$D29="GOOD",0,-1))))</f>
        <v/>
      </c>
      <c r="I29" s="38" t="str">
        <f aca="false">IF($H$11="","",IF('Data Entry'!I29="","",IF('Data Entry'!I29='Data Entry'!$D29,1,IF('Data Entry'!$D29="GOOD",0,-1))))</f>
        <v/>
      </c>
      <c r="J29" s="39" t="str">
        <f aca="false">IF($H$11="","",IF('Data Entry'!J29="","",IF('Data Entry'!J29='Data Entry'!$D29,1,IF('Data Entry'!$D29="GOOD",0,-1))))</f>
        <v/>
      </c>
      <c r="K29" s="37" t="str">
        <f aca="false">IF($H$11="","",IF('Data Entry'!K29="","",IF('Data Entry'!K29='Data Entry'!$D29,1,IF('Data Entry'!$D29="GOOD",0,-1))))</f>
        <v/>
      </c>
      <c r="L29" s="38" t="str">
        <f aca="false">IF($H$11="","",IF('Data Entry'!L29="","",IF('Data Entry'!L29='Data Entry'!$D29,1,IF('Data Entry'!$D29="GOOD",0,-1))))</f>
        <v/>
      </c>
      <c r="M29" s="39" t="str">
        <f aca="false">IF($H$11="","",IF('Data Entry'!M29="","",IF('Data Entry'!M29='Data Entry'!$D29,1,IF('Data Entry'!$D29="GOOD",0,-1))))</f>
        <v/>
      </c>
      <c r="N29" s="37" t="str">
        <f aca="false">IF($H$11="","",IF('Data Entry'!N29="","",IF('Data Entry'!N29='Data Entry'!$D29,1,IF('Data Entry'!$D29="GOOD",0,-1))))</f>
        <v/>
      </c>
      <c r="O29" s="38" t="str">
        <f aca="false">IF($H$11="","",IF('Data Entry'!O29="","",IF('Data Entry'!O29='Data Entry'!$D29,1,IF('Data Entry'!$D29="GOOD",0,-1))))</f>
        <v/>
      </c>
      <c r="P29" s="39" t="str">
        <f aca="false">IF($H$11="","",IF('Data Entry'!P29="","",IF('Data Entry'!P29='Data Entry'!$D29,1,IF('Data Entry'!$D29="GOOD",0,-1))))</f>
        <v/>
      </c>
      <c r="Q29" s="37" t="str">
        <f aca="false">IF($H$11="","",IF('Data Entry'!Q29="","",IF('Data Entry'!Q29='Data Entry'!$D29,1,IF('Data Entry'!$D29="GOOD",0,-1))))</f>
        <v/>
      </c>
      <c r="R29" s="38" t="str">
        <f aca="false">IF($H$11="","",IF('Data Entry'!R29="","",IF('Data Entry'!R29='Data Entry'!$D29,1,IF('Data Entry'!$D29="GOOD",0,-1))))</f>
        <v/>
      </c>
      <c r="S29" s="39" t="str">
        <f aca="false">IF($H$11="","",IF('Data Entry'!S29="","",IF('Data Entry'!S29='Data Entry'!$D29,1,IF('Data Entry'!$D29="GOOD",0,-1))))</f>
        <v/>
      </c>
      <c r="T29" s="37" t="str">
        <f aca="false">IF($H$11="","",IF('Data Entry'!T29="","",IF('Data Entry'!T29='Data Entry'!$D29,1,IF('Data Entry'!$D29="GOOD",0,-1))))</f>
        <v/>
      </c>
      <c r="U29" s="38" t="str">
        <f aca="false">IF($H$11="","",IF('Data Entry'!U29="","",IF('Data Entry'!U29='Data Entry'!$D29,1,IF('Data Entry'!$D29="GOOD",0,-1))))</f>
        <v/>
      </c>
      <c r="V29" s="39" t="str">
        <f aca="false">IF($H$11="","",IF('Data Entry'!V29="","",IF('Data Entry'!V29='Data Entry'!$D29,1,IF('Data Entry'!$D29="GOOD",0,-1))))</f>
        <v/>
      </c>
      <c r="W29" s="37" t="str">
        <f aca="false">IF($H$11="","",IF('Data Entry'!W29="","",IF('Data Entry'!W29='Data Entry'!$D29,1,IF('Data Entry'!$D29="GOOD",0,-1))))</f>
        <v/>
      </c>
      <c r="X29" s="38" t="str">
        <f aca="false">IF($H$11="","",IF('Data Entry'!X29="","",IF('Data Entry'!X29='Data Entry'!$D29,1,IF('Data Entry'!$D29="GOOD",0,-1))))</f>
        <v/>
      </c>
      <c r="Y29" s="39" t="str">
        <f aca="false">IF($H$11="","",IF('Data Entry'!Y29="","",IF('Data Entry'!Y29='Data Entry'!$D29,1,IF('Data Entry'!$D29="GOOD",0,-1))))</f>
        <v/>
      </c>
      <c r="Z29" s="37" t="str">
        <f aca="false">IF($H$11="","",IF('Data Entry'!Z29="","",IF('Data Entry'!Z29='Data Entry'!$D29,1,IF('Data Entry'!$D29="GOOD",0,-1))))</f>
        <v/>
      </c>
      <c r="AA29" s="38" t="str">
        <f aca="false">IF($H$11="","",IF('Data Entry'!AA29="","",IF('Data Entry'!AA29='Data Entry'!$D29,1,IF('Data Entry'!$D29="GOOD",0,-1))))</f>
        <v/>
      </c>
      <c r="AB29" s="39" t="str">
        <f aca="false">IF($H$11="","",IF('Data Entry'!AB29="","",IF('Data Entry'!AB29='Data Entry'!$D29,1,IF('Data Entry'!$D29="GOOD",0,-1))))</f>
        <v/>
      </c>
      <c r="AC29" s="92" t="str">
        <f aca="false">'Data Entry'!AC29</f>
        <v/>
      </c>
      <c r="AD29" s="92" t="str">
        <f aca="false">'Data Entry'!AD29</f>
        <v/>
      </c>
      <c r="AE29" s="17" t="n">
        <f aca="false" t="array" ref="AE29:AE29">SUMPRODUCT((E29:AB29&lt;&gt;1)*(E29:AB29&lt;&gt;""))</f>
        <v>0</v>
      </c>
      <c r="AF29" s="17"/>
      <c r="AG29" s="17"/>
      <c r="AH29" s="17"/>
      <c r="AI29" s="17"/>
      <c r="AJ29" s="17"/>
      <c r="AK29" s="17"/>
      <c r="AL29" s="17"/>
      <c r="AM29" s="17"/>
      <c r="AN29" s="17"/>
    </row>
    <row r="30" s="1" customFormat="true" ht="15.75" hidden="false" customHeight="true" outlineLevel="0" collapsed="false">
      <c r="A30" s="17"/>
      <c r="B30" s="17"/>
      <c r="C30" s="36" t="n">
        <v>18</v>
      </c>
      <c r="D30" s="91" t="n">
        <f aca="false">'Data Entry'!D30</f>
        <v>0</v>
      </c>
      <c r="E30" s="45" t="str">
        <f aca="false">IF($E$11="","",IF('Data Entry'!E30="","",IF('Data Entry'!E30='Data Entry'!$D30,1,IF('Data Entry'!$D30="GOOD",0,-1))))</f>
        <v/>
      </c>
      <c r="F30" s="46" t="str">
        <f aca="false">IF($E$11="","",IF('Data Entry'!F30="","",IF('Data Entry'!F30='Data Entry'!$D30,1,IF('Data Entry'!$D30="GOOD",0,-1))))</f>
        <v/>
      </c>
      <c r="G30" s="47" t="str">
        <f aca="false">IF($E$11="","",IF('Data Entry'!G30="","",IF('Data Entry'!G30='Data Entry'!$D30,1,IF('Data Entry'!$D30="GOOD",0,-1))))</f>
        <v/>
      </c>
      <c r="H30" s="45" t="str">
        <f aca="false">IF($H$11="","",IF('Data Entry'!H30="","",IF('Data Entry'!H30='Data Entry'!$D30,1,IF('Data Entry'!$D30="GOOD",0,-1))))</f>
        <v/>
      </c>
      <c r="I30" s="46" t="str">
        <f aca="false">IF($H$11="","",IF('Data Entry'!I30="","",IF('Data Entry'!I30='Data Entry'!$D30,1,IF('Data Entry'!$D30="GOOD",0,-1))))</f>
        <v/>
      </c>
      <c r="J30" s="47" t="str">
        <f aca="false">IF($H$11="","",IF('Data Entry'!J30="","",IF('Data Entry'!J30='Data Entry'!$D30,1,IF('Data Entry'!$D30="GOOD",0,-1))))</f>
        <v/>
      </c>
      <c r="K30" s="45" t="str">
        <f aca="false">IF($H$11="","",IF('Data Entry'!K30="","",IF('Data Entry'!K30='Data Entry'!$D30,1,IF('Data Entry'!$D30="GOOD",0,-1))))</f>
        <v/>
      </c>
      <c r="L30" s="46" t="str">
        <f aca="false">IF($H$11="","",IF('Data Entry'!L30="","",IF('Data Entry'!L30='Data Entry'!$D30,1,IF('Data Entry'!$D30="GOOD",0,-1))))</f>
        <v/>
      </c>
      <c r="M30" s="47" t="str">
        <f aca="false">IF($H$11="","",IF('Data Entry'!M30="","",IF('Data Entry'!M30='Data Entry'!$D30,1,IF('Data Entry'!$D30="GOOD",0,-1))))</f>
        <v/>
      </c>
      <c r="N30" s="45" t="str">
        <f aca="false">IF($H$11="","",IF('Data Entry'!N30="","",IF('Data Entry'!N30='Data Entry'!$D30,1,IF('Data Entry'!$D30="GOOD",0,-1))))</f>
        <v/>
      </c>
      <c r="O30" s="46" t="str">
        <f aca="false">IF($H$11="","",IF('Data Entry'!O30="","",IF('Data Entry'!O30='Data Entry'!$D30,1,IF('Data Entry'!$D30="GOOD",0,-1))))</f>
        <v/>
      </c>
      <c r="P30" s="47" t="str">
        <f aca="false">IF($H$11="","",IF('Data Entry'!P30="","",IF('Data Entry'!P30='Data Entry'!$D30,1,IF('Data Entry'!$D30="GOOD",0,-1))))</f>
        <v/>
      </c>
      <c r="Q30" s="45" t="str">
        <f aca="false">IF($H$11="","",IF('Data Entry'!Q30="","",IF('Data Entry'!Q30='Data Entry'!$D30,1,IF('Data Entry'!$D30="GOOD",0,-1))))</f>
        <v/>
      </c>
      <c r="R30" s="46" t="str">
        <f aca="false">IF($H$11="","",IF('Data Entry'!R30="","",IF('Data Entry'!R30='Data Entry'!$D30,1,IF('Data Entry'!$D30="GOOD",0,-1))))</f>
        <v/>
      </c>
      <c r="S30" s="47" t="str">
        <f aca="false">IF($H$11="","",IF('Data Entry'!S30="","",IF('Data Entry'!S30='Data Entry'!$D30,1,IF('Data Entry'!$D30="GOOD",0,-1))))</f>
        <v/>
      </c>
      <c r="T30" s="45" t="str">
        <f aca="false">IF($H$11="","",IF('Data Entry'!T30="","",IF('Data Entry'!T30='Data Entry'!$D30,1,IF('Data Entry'!$D30="GOOD",0,-1))))</f>
        <v/>
      </c>
      <c r="U30" s="46" t="str">
        <f aca="false">IF($H$11="","",IF('Data Entry'!U30="","",IF('Data Entry'!U30='Data Entry'!$D30,1,IF('Data Entry'!$D30="GOOD",0,-1))))</f>
        <v/>
      </c>
      <c r="V30" s="47" t="str">
        <f aca="false">IF($H$11="","",IF('Data Entry'!V30="","",IF('Data Entry'!V30='Data Entry'!$D30,1,IF('Data Entry'!$D30="GOOD",0,-1))))</f>
        <v/>
      </c>
      <c r="W30" s="45" t="str">
        <f aca="false">IF($H$11="","",IF('Data Entry'!W30="","",IF('Data Entry'!W30='Data Entry'!$D30,1,IF('Data Entry'!$D30="GOOD",0,-1))))</f>
        <v/>
      </c>
      <c r="X30" s="46" t="str">
        <f aca="false">IF($H$11="","",IF('Data Entry'!X30="","",IF('Data Entry'!X30='Data Entry'!$D30,1,IF('Data Entry'!$D30="GOOD",0,-1))))</f>
        <v/>
      </c>
      <c r="Y30" s="47" t="str">
        <f aca="false">IF($H$11="","",IF('Data Entry'!Y30="","",IF('Data Entry'!Y30='Data Entry'!$D30,1,IF('Data Entry'!$D30="GOOD",0,-1))))</f>
        <v/>
      </c>
      <c r="Z30" s="45" t="str">
        <f aca="false">IF($H$11="","",IF('Data Entry'!Z30="","",IF('Data Entry'!Z30='Data Entry'!$D30,1,IF('Data Entry'!$D30="GOOD",0,-1))))</f>
        <v/>
      </c>
      <c r="AA30" s="46" t="str">
        <f aca="false">IF($H$11="","",IF('Data Entry'!AA30="","",IF('Data Entry'!AA30='Data Entry'!$D30,1,IF('Data Entry'!$D30="GOOD",0,-1))))</f>
        <v/>
      </c>
      <c r="AB30" s="47" t="str">
        <f aca="false">IF($H$11="","",IF('Data Entry'!AB30="","",IF('Data Entry'!AB30='Data Entry'!$D30,1,IF('Data Entry'!$D30="GOOD",0,-1))))</f>
        <v/>
      </c>
      <c r="AC30" s="92" t="str">
        <f aca="false">'Data Entry'!AC30</f>
        <v/>
      </c>
      <c r="AD30" s="92" t="str">
        <f aca="false">'Data Entry'!AD30</f>
        <v/>
      </c>
      <c r="AE30" s="17" t="n">
        <f aca="false" t="array" ref="AE30:AE30">SUMPRODUCT((E30:AB30&lt;&gt;1)*(E30:AB30&lt;&gt;""))</f>
        <v>0</v>
      </c>
      <c r="AF30" s="17"/>
      <c r="AG30" s="17"/>
      <c r="AH30" s="17"/>
      <c r="AI30" s="17"/>
      <c r="AJ30" s="17"/>
      <c r="AK30" s="17"/>
      <c r="AL30" s="17"/>
      <c r="AM30" s="17"/>
      <c r="AN30" s="17"/>
    </row>
    <row r="31" s="1" customFormat="true" ht="15.75" hidden="false" customHeight="true" outlineLevel="0" collapsed="false">
      <c r="A31" s="17"/>
      <c r="B31" s="17"/>
      <c r="C31" s="36" t="n">
        <v>19</v>
      </c>
      <c r="D31" s="91" t="n">
        <f aca="false">'Data Entry'!D31</f>
        <v>0</v>
      </c>
      <c r="E31" s="37" t="str">
        <f aca="false">IF($E$11="","",IF('Data Entry'!E31="","",IF('Data Entry'!E31='Data Entry'!$D31,1,IF('Data Entry'!$D31="GOOD",0,-1))))</f>
        <v/>
      </c>
      <c r="F31" s="38" t="str">
        <f aca="false">IF($E$11="","",IF('Data Entry'!F31="","",IF('Data Entry'!F31='Data Entry'!$D31,1,IF('Data Entry'!$D31="GOOD",0,-1))))</f>
        <v/>
      </c>
      <c r="G31" s="39" t="str">
        <f aca="false">IF($E$11="","",IF('Data Entry'!G31="","",IF('Data Entry'!G31='Data Entry'!$D31,1,IF('Data Entry'!$D31="GOOD",0,-1))))</f>
        <v/>
      </c>
      <c r="H31" s="37" t="str">
        <f aca="false">IF($H$11="","",IF('Data Entry'!H31="","",IF('Data Entry'!H31='Data Entry'!$D31,1,IF('Data Entry'!$D31="GOOD",0,-1))))</f>
        <v/>
      </c>
      <c r="I31" s="38" t="str">
        <f aca="false">IF($H$11="","",IF('Data Entry'!I31="","",IF('Data Entry'!I31='Data Entry'!$D31,1,IF('Data Entry'!$D31="GOOD",0,-1))))</f>
        <v/>
      </c>
      <c r="J31" s="39" t="str">
        <f aca="false">IF($H$11="","",IF('Data Entry'!J31="","",IF('Data Entry'!J31='Data Entry'!$D31,1,IF('Data Entry'!$D31="GOOD",0,-1))))</f>
        <v/>
      </c>
      <c r="K31" s="37" t="str">
        <f aca="false">IF($H$11="","",IF('Data Entry'!K31="","",IF('Data Entry'!K31='Data Entry'!$D31,1,IF('Data Entry'!$D31="GOOD",0,-1))))</f>
        <v/>
      </c>
      <c r="L31" s="38" t="str">
        <f aca="false">IF($H$11="","",IF('Data Entry'!L31="","",IF('Data Entry'!L31='Data Entry'!$D31,1,IF('Data Entry'!$D31="GOOD",0,-1))))</f>
        <v/>
      </c>
      <c r="M31" s="39" t="str">
        <f aca="false">IF($H$11="","",IF('Data Entry'!M31="","",IF('Data Entry'!M31='Data Entry'!$D31,1,IF('Data Entry'!$D31="GOOD",0,-1))))</f>
        <v/>
      </c>
      <c r="N31" s="37" t="str">
        <f aca="false">IF($H$11="","",IF('Data Entry'!N31="","",IF('Data Entry'!N31='Data Entry'!$D31,1,IF('Data Entry'!$D31="GOOD",0,-1))))</f>
        <v/>
      </c>
      <c r="O31" s="38" t="str">
        <f aca="false">IF($H$11="","",IF('Data Entry'!O31="","",IF('Data Entry'!O31='Data Entry'!$D31,1,IF('Data Entry'!$D31="GOOD",0,-1))))</f>
        <v/>
      </c>
      <c r="P31" s="39" t="str">
        <f aca="false">IF($H$11="","",IF('Data Entry'!P31="","",IF('Data Entry'!P31='Data Entry'!$D31,1,IF('Data Entry'!$D31="GOOD",0,-1))))</f>
        <v/>
      </c>
      <c r="Q31" s="37" t="str">
        <f aca="false">IF($H$11="","",IF('Data Entry'!Q31="","",IF('Data Entry'!Q31='Data Entry'!$D31,1,IF('Data Entry'!$D31="GOOD",0,-1))))</f>
        <v/>
      </c>
      <c r="R31" s="38" t="str">
        <f aca="false">IF($H$11="","",IF('Data Entry'!R31="","",IF('Data Entry'!R31='Data Entry'!$D31,1,IF('Data Entry'!$D31="GOOD",0,-1))))</f>
        <v/>
      </c>
      <c r="S31" s="39" t="str">
        <f aca="false">IF($H$11="","",IF('Data Entry'!S31="","",IF('Data Entry'!S31='Data Entry'!$D31,1,IF('Data Entry'!$D31="GOOD",0,-1))))</f>
        <v/>
      </c>
      <c r="T31" s="37" t="str">
        <f aca="false">IF($H$11="","",IF('Data Entry'!T31="","",IF('Data Entry'!T31='Data Entry'!$D31,1,IF('Data Entry'!$D31="GOOD",0,-1))))</f>
        <v/>
      </c>
      <c r="U31" s="38" t="str">
        <f aca="false">IF($H$11="","",IF('Data Entry'!U31="","",IF('Data Entry'!U31='Data Entry'!$D31,1,IF('Data Entry'!$D31="GOOD",0,-1))))</f>
        <v/>
      </c>
      <c r="V31" s="39" t="str">
        <f aca="false">IF($H$11="","",IF('Data Entry'!V31="","",IF('Data Entry'!V31='Data Entry'!$D31,1,IF('Data Entry'!$D31="GOOD",0,-1))))</f>
        <v/>
      </c>
      <c r="W31" s="37" t="str">
        <f aca="false">IF($H$11="","",IF('Data Entry'!W31="","",IF('Data Entry'!W31='Data Entry'!$D31,1,IF('Data Entry'!$D31="GOOD",0,-1))))</f>
        <v/>
      </c>
      <c r="X31" s="38" t="str">
        <f aca="false">IF($H$11="","",IF('Data Entry'!X31="","",IF('Data Entry'!X31='Data Entry'!$D31,1,IF('Data Entry'!$D31="GOOD",0,-1))))</f>
        <v/>
      </c>
      <c r="Y31" s="39" t="str">
        <f aca="false">IF($H$11="","",IF('Data Entry'!Y31="","",IF('Data Entry'!Y31='Data Entry'!$D31,1,IF('Data Entry'!$D31="GOOD",0,-1))))</f>
        <v/>
      </c>
      <c r="Z31" s="37" t="str">
        <f aca="false">IF($H$11="","",IF('Data Entry'!Z31="","",IF('Data Entry'!Z31='Data Entry'!$D31,1,IF('Data Entry'!$D31="GOOD",0,-1))))</f>
        <v/>
      </c>
      <c r="AA31" s="38" t="str">
        <f aca="false">IF($H$11="","",IF('Data Entry'!AA31="","",IF('Data Entry'!AA31='Data Entry'!$D31,1,IF('Data Entry'!$D31="GOOD",0,-1))))</f>
        <v/>
      </c>
      <c r="AB31" s="39" t="str">
        <f aca="false">IF($H$11="","",IF('Data Entry'!AB31="","",IF('Data Entry'!AB31='Data Entry'!$D31,1,IF('Data Entry'!$D31="GOOD",0,-1))))</f>
        <v/>
      </c>
      <c r="AC31" s="92" t="str">
        <f aca="false">'Data Entry'!AC31</f>
        <v/>
      </c>
      <c r="AD31" s="92" t="str">
        <f aca="false">'Data Entry'!AD31</f>
        <v/>
      </c>
      <c r="AE31" s="17" t="n">
        <f aca="false" t="array" ref="AE31:AE31">SUMPRODUCT((E31:AB31&lt;&gt;1)*(E31:AB31&lt;&gt;""))</f>
        <v>0</v>
      </c>
      <c r="AF31" s="17"/>
      <c r="AG31" s="17"/>
      <c r="AH31" s="17"/>
      <c r="AI31" s="17"/>
      <c r="AJ31" s="17"/>
      <c r="AK31" s="17"/>
      <c r="AL31" s="17"/>
      <c r="AM31" s="17"/>
      <c r="AN31" s="17"/>
    </row>
    <row r="32" s="1" customFormat="true" ht="15.75" hidden="false" customHeight="true" outlineLevel="0" collapsed="false">
      <c r="A32" s="17"/>
      <c r="B32" s="17"/>
      <c r="C32" s="36" t="n">
        <v>20</v>
      </c>
      <c r="D32" s="91" t="n">
        <f aca="false">'Data Entry'!D32</f>
        <v>0</v>
      </c>
      <c r="E32" s="37" t="str">
        <f aca="false">IF($E$11="","",IF('Data Entry'!E32="","",IF('Data Entry'!E32='Data Entry'!$D32,1,IF('Data Entry'!$D32="GOOD",0,-1))))</f>
        <v/>
      </c>
      <c r="F32" s="38" t="str">
        <f aca="false">IF($E$11="","",IF('Data Entry'!F32="","",IF('Data Entry'!F32='Data Entry'!$D32,1,IF('Data Entry'!$D32="GOOD",0,-1))))</f>
        <v/>
      </c>
      <c r="G32" s="39" t="str">
        <f aca="false">IF($E$11="","",IF('Data Entry'!G32="","",IF('Data Entry'!G32='Data Entry'!$D32,1,IF('Data Entry'!$D32="GOOD",0,-1))))</f>
        <v/>
      </c>
      <c r="H32" s="37" t="str">
        <f aca="false">IF($H$11="","",IF('Data Entry'!H32="","",IF('Data Entry'!H32='Data Entry'!$D32,1,IF('Data Entry'!$D32="GOOD",0,-1))))</f>
        <v/>
      </c>
      <c r="I32" s="38" t="str">
        <f aca="false">IF($H$11="","",IF('Data Entry'!I32="","",IF('Data Entry'!I32='Data Entry'!$D32,1,IF('Data Entry'!$D32="GOOD",0,-1))))</f>
        <v/>
      </c>
      <c r="J32" s="39" t="str">
        <f aca="false">IF($H$11="","",IF('Data Entry'!J32="","",IF('Data Entry'!J32='Data Entry'!$D32,1,IF('Data Entry'!$D32="GOOD",0,-1))))</f>
        <v/>
      </c>
      <c r="K32" s="37" t="str">
        <f aca="false">IF($H$11="","",IF('Data Entry'!K32="","",IF('Data Entry'!K32='Data Entry'!$D32,1,IF('Data Entry'!$D32="GOOD",0,-1))))</f>
        <v/>
      </c>
      <c r="L32" s="38" t="str">
        <f aca="false">IF($H$11="","",IF('Data Entry'!L32="","",IF('Data Entry'!L32='Data Entry'!$D32,1,IF('Data Entry'!$D32="GOOD",0,-1))))</f>
        <v/>
      </c>
      <c r="M32" s="39" t="str">
        <f aca="false">IF($H$11="","",IF('Data Entry'!M32="","",IF('Data Entry'!M32='Data Entry'!$D32,1,IF('Data Entry'!$D32="GOOD",0,-1))))</f>
        <v/>
      </c>
      <c r="N32" s="37" t="str">
        <f aca="false">IF($H$11="","",IF('Data Entry'!N32="","",IF('Data Entry'!N32='Data Entry'!$D32,1,IF('Data Entry'!$D32="GOOD",0,-1))))</f>
        <v/>
      </c>
      <c r="O32" s="38" t="str">
        <f aca="false">IF($H$11="","",IF('Data Entry'!O32="","",IF('Data Entry'!O32='Data Entry'!$D32,1,IF('Data Entry'!$D32="GOOD",0,-1))))</f>
        <v/>
      </c>
      <c r="P32" s="39" t="str">
        <f aca="false">IF($H$11="","",IF('Data Entry'!P32="","",IF('Data Entry'!P32='Data Entry'!$D32,1,IF('Data Entry'!$D32="GOOD",0,-1))))</f>
        <v/>
      </c>
      <c r="Q32" s="37" t="str">
        <f aca="false">IF($H$11="","",IF('Data Entry'!Q32="","",IF('Data Entry'!Q32='Data Entry'!$D32,1,IF('Data Entry'!$D32="GOOD",0,-1))))</f>
        <v/>
      </c>
      <c r="R32" s="38" t="str">
        <f aca="false">IF($H$11="","",IF('Data Entry'!R32="","",IF('Data Entry'!R32='Data Entry'!$D32,1,IF('Data Entry'!$D32="GOOD",0,-1))))</f>
        <v/>
      </c>
      <c r="S32" s="39" t="str">
        <f aca="false">IF($H$11="","",IF('Data Entry'!S32="","",IF('Data Entry'!S32='Data Entry'!$D32,1,IF('Data Entry'!$D32="GOOD",0,-1))))</f>
        <v/>
      </c>
      <c r="T32" s="37" t="str">
        <f aca="false">IF($H$11="","",IF('Data Entry'!T32="","",IF('Data Entry'!T32='Data Entry'!$D32,1,IF('Data Entry'!$D32="GOOD",0,-1))))</f>
        <v/>
      </c>
      <c r="U32" s="38" t="str">
        <f aca="false">IF($H$11="","",IF('Data Entry'!U32="","",IF('Data Entry'!U32='Data Entry'!$D32,1,IF('Data Entry'!$D32="GOOD",0,-1))))</f>
        <v/>
      </c>
      <c r="V32" s="39" t="str">
        <f aca="false">IF($H$11="","",IF('Data Entry'!V32="","",IF('Data Entry'!V32='Data Entry'!$D32,1,IF('Data Entry'!$D32="GOOD",0,-1))))</f>
        <v/>
      </c>
      <c r="W32" s="37" t="str">
        <f aca="false">IF($H$11="","",IF('Data Entry'!W32="","",IF('Data Entry'!W32='Data Entry'!$D32,1,IF('Data Entry'!$D32="GOOD",0,-1))))</f>
        <v/>
      </c>
      <c r="X32" s="38" t="str">
        <f aca="false">IF($H$11="","",IF('Data Entry'!X32="","",IF('Data Entry'!X32='Data Entry'!$D32,1,IF('Data Entry'!$D32="GOOD",0,-1))))</f>
        <v/>
      </c>
      <c r="Y32" s="39" t="str">
        <f aca="false">IF($H$11="","",IF('Data Entry'!Y32="","",IF('Data Entry'!Y32='Data Entry'!$D32,1,IF('Data Entry'!$D32="GOOD",0,-1))))</f>
        <v/>
      </c>
      <c r="Z32" s="37" t="str">
        <f aca="false">IF($H$11="","",IF('Data Entry'!Z32="","",IF('Data Entry'!Z32='Data Entry'!$D32,1,IF('Data Entry'!$D32="GOOD",0,-1))))</f>
        <v/>
      </c>
      <c r="AA32" s="38" t="str">
        <f aca="false">IF($H$11="","",IF('Data Entry'!AA32="","",IF('Data Entry'!AA32='Data Entry'!$D32,1,IF('Data Entry'!$D32="GOOD",0,-1))))</f>
        <v/>
      </c>
      <c r="AB32" s="39" t="str">
        <f aca="false">IF($H$11="","",IF('Data Entry'!AB32="","",IF('Data Entry'!AB32='Data Entry'!$D32,1,IF('Data Entry'!$D32="GOOD",0,-1))))</f>
        <v/>
      </c>
      <c r="AC32" s="92" t="str">
        <f aca="false">'Data Entry'!AC32</f>
        <v/>
      </c>
      <c r="AD32" s="92" t="str">
        <f aca="false">'Data Entry'!AD32</f>
        <v/>
      </c>
      <c r="AE32" s="17" t="n">
        <f aca="false" t="array" ref="AE32:AE32">SUMPRODUCT((E32:AB32&lt;&gt;1)*(E32:AB32&lt;&gt;""))</f>
        <v>0</v>
      </c>
      <c r="AF32" s="17"/>
      <c r="AG32" s="17"/>
      <c r="AH32" s="17"/>
      <c r="AI32" s="17"/>
      <c r="AJ32" s="17"/>
      <c r="AK32" s="17"/>
      <c r="AL32" s="17"/>
      <c r="AM32" s="17"/>
      <c r="AN32" s="17"/>
    </row>
    <row r="33" s="1" customFormat="true" ht="15.75" hidden="false" customHeight="true" outlineLevel="0" collapsed="false">
      <c r="A33" s="17"/>
      <c r="B33" s="17"/>
      <c r="C33" s="36" t="n">
        <v>21</v>
      </c>
      <c r="D33" s="91" t="n">
        <f aca="false">'Data Entry'!D33</f>
        <v>0</v>
      </c>
      <c r="E33" s="37" t="str">
        <f aca="false">IF($E$11="","",IF('Data Entry'!E33="","",IF('Data Entry'!E33='Data Entry'!$D33,1,IF('Data Entry'!$D33="GOOD",0,-1))))</f>
        <v/>
      </c>
      <c r="F33" s="38" t="str">
        <f aca="false">IF($E$11="","",IF('Data Entry'!F33="","",IF('Data Entry'!F33='Data Entry'!$D33,1,IF('Data Entry'!$D33="GOOD",0,-1))))</f>
        <v/>
      </c>
      <c r="G33" s="39" t="str">
        <f aca="false">IF($E$11="","",IF('Data Entry'!G33="","",IF('Data Entry'!G33='Data Entry'!$D33,1,IF('Data Entry'!$D33="GOOD",0,-1))))</f>
        <v/>
      </c>
      <c r="H33" s="37" t="str">
        <f aca="false">IF($H$11="","",IF('Data Entry'!H33="","",IF('Data Entry'!H33='Data Entry'!$D33,1,IF('Data Entry'!$D33="GOOD",0,-1))))</f>
        <v/>
      </c>
      <c r="I33" s="38" t="str">
        <f aca="false">IF($H$11="","",IF('Data Entry'!I33="","",IF('Data Entry'!I33='Data Entry'!$D33,1,IF('Data Entry'!$D33="GOOD",0,-1))))</f>
        <v/>
      </c>
      <c r="J33" s="39" t="str">
        <f aca="false">IF($H$11="","",IF('Data Entry'!J33="","",IF('Data Entry'!J33='Data Entry'!$D33,1,IF('Data Entry'!$D33="GOOD",0,-1))))</f>
        <v/>
      </c>
      <c r="K33" s="37" t="str">
        <f aca="false">IF($H$11="","",IF('Data Entry'!K33="","",IF('Data Entry'!K33='Data Entry'!$D33,1,IF('Data Entry'!$D33="GOOD",0,-1))))</f>
        <v/>
      </c>
      <c r="L33" s="38" t="str">
        <f aca="false">IF($H$11="","",IF('Data Entry'!L33="","",IF('Data Entry'!L33='Data Entry'!$D33,1,IF('Data Entry'!$D33="GOOD",0,-1))))</f>
        <v/>
      </c>
      <c r="M33" s="39" t="str">
        <f aca="false">IF($H$11="","",IF('Data Entry'!M33="","",IF('Data Entry'!M33='Data Entry'!$D33,1,IF('Data Entry'!$D33="GOOD",0,-1))))</f>
        <v/>
      </c>
      <c r="N33" s="37" t="str">
        <f aca="false">IF($H$11="","",IF('Data Entry'!N33="","",IF('Data Entry'!N33='Data Entry'!$D33,1,IF('Data Entry'!$D33="GOOD",0,-1))))</f>
        <v/>
      </c>
      <c r="O33" s="38" t="str">
        <f aca="false">IF($H$11="","",IF('Data Entry'!O33="","",IF('Data Entry'!O33='Data Entry'!$D33,1,IF('Data Entry'!$D33="GOOD",0,-1))))</f>
        <v/>
      </c>
      <c r="P33" s="39" t="str">
        <f aca="false">IF($H$11="","",IF('Data Entry'!P33="","",IF('Data Entry'!P33='Data Entry'!$D33,1,IF('Data Entry'!$D33="GOOD",0,-1))))</f>
        <v/>
      </c>
      <c r="Q33" s="37" t="str">
        <f aca="false">IF($H$11="","",IF('Data Entry'!Q33="","",IF('Data Entry'!Q33='Data Entry'!$D33,1,IF('Data Entry'!$D33="GOOD",0,-1))))</f>
        <v/>
      </c>
      <c r="R33" s="38" t="str">
        <f aca="false">IF($H$11="","",IF('Data Entry'!R33="","",IF('Data Entry'!R33='Data Entry'!$D33,1,IF('Data Entry'!$D33="GOOD",0,-1))))</f>
        <v/>
      </c>
      <c r="S33" s="39" t="str">
        <f aca="false">IF($H$11="","",IF('Data Entry'!S33="","",IF('Data Entry'!S33='Data Entry'!$D33,1,IF('Data Entry'!$D33="GOOD",0,-1))))</f>
        <v/>
      </c>
      <c r="T33" s="37" t="str">
        <f aca="false">IF($H$11="","",IF('Data Entry'!T33="","",IF('Data Entry'!T33='Data Entry'!$D33,1,IF('Data Entry'!$D33="GOOD",0,-1))))</f>
        <v/>
      </c>
      <c r="U33" s="38" t="str">
        <f aca="false">IF($H$11="","",IF('Data Entry'!U33="","",IF('Data Entry'!U33='Data Entry'!$D33,1,IF('Data Entry'!$D33="GOOD",0,-1))))</f>
        <v/>
      </c>
      <c r="V33" s="39" t="str">
        <f aca="false">IF($H$11="","",IF('Data Entry'!V33="","",IF('Data Entry'!V33='Data Entry'!$D33,1,IF('Data Entry'!$D33="GOOD",0,-1))))</f>
        <v/>
      </c>
      <c r="W33" s="37" t="str">
        <f aca="false">IF($H$11="","",IF('Data Entry'!W33="","",IF('Data Entry'!W33='Data Entry'!$D33,1,IF('Data Entry'!$D33="GOOD",0,-1))))</f>
        <v/>
      </c>
      <c r="X33" s="38" t="str">
        <f aca="false">IF($H$11="","",IF('Data Entry'!X33="","",IF('Data Entry'!X33='Data Entry'!$D33,1,IF('Data Entry'!$D33="GOOD",0,-1))))</f>
        <v/>
      </c>
      <c r="Y33" s="39" t="str">
        <f aca="false">IF($H$11="","",IF('Data Entry'!Y33="","",IF('Data Entry'!Y33='Data Entry'!$D33,1,IF('Data Entry'!$D33="GOOD",0,-1))))</f>
        <v/>
      </c>
      <c r="Z33" s="37" t="str">
        <f aca="false">IF($H$11="","",IF('Data Entry'!Z33="","",IF('Data Entry'!Z33='Data Entry'!$D33,1,IF('Data Entry'!$D33="GOOD",0,-1))))</f>
        <v/>
      </c>
      <c r="AA33" s="38" t="str">
        <f aca="false">IF($H$11="","",IF('Data Entry'!AA33="","",IF('Data Entry'!AA33='Data Entry'!$D33,1,IF('Data Entry'!$D33="GOOD",0,-1))))</f>
        <v/>
      </c>
      <c r="AB33" s="39" t="str">
        <f aca="false">IF($H$11="","",IF('Data Entry'!AB33="","",IF('Data Entry'!AB33='Data Entry'!$D33,1,IF('Data Entry'!$D33="GOOD",0,-1))))</f>
        <v/>
      </c>
      <c r="AC33" s="92" t="str">
        <f aca="false">'Data Entry'!AC33</f>
        <v/>
      </c>
      <c r="AD33" s="92" t="str">
        <f aca="false">'Data Entry'!AD33</f>
        <v/>
      </c>
      <c r="AE33" s="17" t="n">
        <f aca="false" t="array" ref="AE33:AE33">SUMPRODUCT((E33:AB33&lt;&gt;1)*(E33:AB33&lt;&gt;""))</f>
        <v>0</v>
      </c>
      <c r="AF33" s="17"/>
      <c r="AG33" s="17"/>
      <c r="AH33" s="17"/>
      <c r="AI33" s="17"/>
      <c r="AJ33" s="17"/>
      <c r="AK33" s="17"/>
      <c r="AL33" s="17"/>
      <c r="AM33" s="17"/>
      <c r="AN33" s="17"/>
    </row>
    <row r="34" s="1" customFormat="true" ht="15.75" hidden="false" customHeight="true" outlineLevel="0" collapsed="false">
      <c r="A34" s="17"/>
      <c r="B34" s="17"/>
      <c r="C34" s="36" t="n">
        <v>22</v>
      </c>
      <c r="D34" s="91" t="n">
        <f aca="false">'Data Entry'!D34</f>
        <v>0</v>
      </c>
      <c r="E34" s="45" t="str">
        <f aca="false">IF($E$11="","",IF('Data Entry'!E34="","",IF('Data Entry'!E34='Data Entry'!$D34,1,IF('Data Entry'!$D34="GOOD",0,-1))))</f>
        <v/>
      </c>
      <c r="F34" s="46" t="str">
        <f aca="false">IF($E$11="","",IF('Data Entry'!F34="","",IF('Data Entry'!F34='Data Entry'!$D34,1,IF('Data Entry'!$D34="GOOD",0,-1))))</f>
        <v/>
      </c>
      <c r="G34" s="47" t="str">
        <f aca="false">IF($E$11="","",IF('Data Entry'!G34="","",IF('Data Entry'!G34='Data Entry'!$D34,1,IF('Data Entry'!$D34="GOOD",0,-1))))</f>
        <v/>
      </c>
      <c r="H34" s="45" t="str">
        <f aca="false">IF($H$11="","",IF('Data Entry'!H34="","",IF('Data Entry'!H34='Data Entry'!$D34,1,IF('Data Entry'!$D34="GOOD",0,-1))))</f>
        <v/>
      </c>
      <c r="I34" s="46" t="str">
        <f aca="false">IF($H$11="","",IF('Data Entry'!I34="","",IF('Data Entry'!I34='Data Entry'!$D34,1,IF('Data Entry'!$D34="GOOD",0,-1))))</f>
        <v/>
      </c>
      <c r="J34" s="47" t="str">
        <f aca="false">IF($H$11="","",IF('Data Entry'!J34="","",IF('Data Entry'!J34='Data Entry'!$D34,1,IF('Data Entry'!$D34="GOOD",0,-1))))</f>
        <v/>
      </c>
      <c r="K34" s="45" t="str">
        <f aca="false">IF($H$11="","",IF('Data Entry'!K34="","",IF('Data Entry'!K34='Data Entry'!$D34,1,IF('Data Entry'!$D34="GOOD",0,-1))))</f>
        <v/>
      </c>
      <c r="L34" s="46" t="str">
        <f aca="false">IF($H$11="","",IF('Data Entry'!L34="","",IF('Data Entry'!L34='Data Entry'!$D34,1,IF('Data Entry'!$D34="GOOD",0,-1))))</f>
        <v/>
      </c>
      <c r="M34" s="47" t="str">
        <f aca="false">IF($H$11="","",IF('Data Entry'!M34="","",IF('Data Entry'!M34='Data Entry'!$D34,1,IF('Data Entry'!$D34="GOOD",0,-1))))</f>
        <v/>
      </c>
      <c r="N34" s="45" t="str">
        <f aca="false">IF($H$11="","",IF('Data Entry'!N34="","",IF('Data Entry'!N34='Data Entry'!$D34,1,IF('Data Entry'!$D34="GOOD",0,-1))))</f>
        <v/>
      </c>
      <c r="O34" s="46" t="str">
        <f aca="false">IF($H$11="","",IF('Data Entry'!O34="","",IF('Data Entry'!O34='Data Entry'!$D34,1,IF('Data Entry'!$D34="GOOD",0,-1))))</f>
        <v/>
      </c>
      <c r="P34" s="47" t="str">
        <f aca="false">IF($H$11="","",IF('Data Entry'!P34="","",IF('Data Entry'!P34='Data Entry'!$D34,1,IF('Data Entry'!$D34="GOOD",0,-1))))</f>
        <v/>
      </c>
      <c r="Q34" s="45" t="str">
        <f aca="false">IF($H$11="","",IF('Data Entry'!Q34="","",IF('Data Entry'!Q34='Data Entry'!$D34,1,IF('Data Entry'!$D34="GOOD",0,-1))))</f>
        <v/>
      </c>
      <c r="R34" s="46" t="str">
        <f aca="false">IF($H$11="","",IF('Data Entry'!R34="","",IF('Data Entry'!R34='Data Entry'!$D34,1,IF('Data Entry'!$D34="GOOD",0,-1))))</f>
        <v/>
      </c>
      <c r="S34" s="47" t="str">
        <f aca="false">IF($H$11="","",IF('Data Entry'!S34="","",IF('Data Entry'!S34='Data Entry'!$D34,1,IF('Data Entry'!$D34="GOOD",0,-1))))</f>
        <v/>
      </c>
      <c r="T34" s="45" t="str">
        <f aca="false">IF($H$11="","",IF('Data Entry'!T34="","",IF('Data Entry'!T34='Data Entry'!$D34,1,IF('Data Entry'!$D34="GOOD",0,-1))))</f>
        <v/>
      </c>
      <c r="U34" s="46" t="str">
        <f aca="false">IF($H$11="","",IF('Data Entry'!U34="","",IF('Data Entry'!U34='Data Entry'!$D34,1,IF('Data Entry'!$D34="GOOD",0,-1))))</f>
        <v/>
      </c>
      <c r="V34" s="47" t="str">
        <f aca="false">IF($H$11="","",IF('Data Entry'!V34="","",IF('Data Entry'!V34='Data Entry'!$D34,1,IF('Data Entry'!$D34="GOOD",0,-1))))</f>
        <v/>
      </c>
      <c r="W34" s="45" t="str">
        <f aca="false">IF($H$11="","",IF('Data Entry'!W34="","",IF('Data Entry'!W34='Data Entry'!$D34,1,IF('Data Entry'!$D34="GOOD",0,-1))))</f>
        <v/>
      </c>
      <c r="X34" s="46" t="str">
        <f aca="false">IF($H$11="","",IF('Data Entry'!X34="","",IF('Data Entry'!X34='Data Entry'!$D34,1,IF('Data Entry'!$D34="GOOD",0,-1))))</f>
        <v/>
      </c>
      <c r="Y34" s="47" t="str">
        <f aca="false">IF($H$11="","",IF('Data Entry'!Y34="","",IF('Data Entry'!Y34='Data Entry'!$D34,1,IF('Data Entry'!$D34="GOOD",0,-1))))</f>
        <v/>
      </c>
      <c r="Z34" s="45" t="str">
        <f aca="false">IF($H$11="","",IF('Data Entry'!Z34="","",IF('Data Entry'!Z34='Data Entry'!$D34,1,IF('Data Entry'!$D34="GOOD",0,-1))))</f>
        <v/>
      </c>
      <c r="AA34" s="46" t="str">
        <f aca="false">IF($H$11="","",IF('Data Entry'!AA34="","",IF('Data Entry'!AA34='Data Entry'!$D34,1,IF('Data Entry'!$D34="GOOD",0,-1))))</f>
        <v/>
      </c>
      <c r="AB34" s="47" t="str">
        <f aca="false">IF($H$11="","",IF('Data Entry'!AB34="","",IF('Data Entry'!AB34='Data Entry'!$D34,1,IF('Data Entry'!$D34="GOOD",0,-1))))</f>
        <v/>
      </c>
      <c r="AC34" s="92" t="str">
        <f aca="false">'Data Entry'!AC34</f>
        <v/>
      </c>
      <c r="AD34" s="92" t="str">
        <f aca="false">'Data Entry'!AD34</f>
        <v/>
      </c>
      <c r="AE34" s="17" t="n">
        <f aca="false" t="array" ref="AE34:AE34">SUMPRODUCT((E34:AB34&lt;&gt;1)*(E34:AB34&lt;&gt;""))</f>
        <v>0</v>
      </c>
      <c r="AF34" s="17"/>
      <c r="AG34" s="17"/>
      <c r="AH34" s="17"/>
      <c r="AI34" s="17"/>
      <c r="AJ34" s="17"/>
      <c r="AK34" s="17"/>
      <c r="AL34" s="17"/>
      <c r="AM34" s="17"/>
      <c r="AN34" s="17"/>
    </row>
    <row r="35" s="1" customFormat="true" ht="15.75" hidden="false" customHeight="true" outlineLevel="0" collapsed="false">
      <c r="A35" s="17"/>
      <c r="B35" s="17"/>
      <c r="C35" s="36" t="n">
        <v>23</v>
      </c>
      <c r="D35" s="91" t="n">
        <f aca="false">'Data Entry'!D35</f>
        <v>0</v>
      </c>
      <c r="E35" s="37" t="str">
        <f aca="false">IF($E$11="","",IF('Data Entry'!E35="","",IF('Data Entry'!E35='Data Entry'!$D35,1,IF('Data Entry'!$D35="GOOD",0,-1))))</f>
        <v/>
      </c>
      <c r="F35" s="38" t="str">
        <f aca="false">IF($E$11="","",IF('Data Entry'!F35="","",IF('Data Entry'!F35='Data Entry'!$D35,1,IF('Data Entry'!$D35="GOOD",0,-1))))</f>
        <v/>
      </c>
      <c r="G35" s="39" t="str">
        <f aca="false">IF($E$11="","",IF('Data Entry'!G35="","",IF('Data Entry'!G35='Data Entry'!$D35,1,IF('Data Entry'!$D35="GOOD",0,-1))))</f>
        <v/>
      </c>
      <c r="H35" s="37" t="str">
        <f aca="false">IF($H$11="","",IF('Data Entry'!H35="","",IF('Data Entry'!H35='Data Entry'!$D35,1,IF('Data Entry'!$D35="GOOD",0,-1))))</f>
        <v/>
      </c>
      <c r="I35" s="38" t="str">
        <f aca="false">IF($H$11="","",IF('Data Entry'!I35="","",IF('Data Entry'!I35='Data Entry'!$D35,1,IF('Data Entry'!$D35="GOOD",0,-1))))</f>
        <v/>
      </c>
      <c r="J35" s="39" t="str">
        <f aca="false">IF($H$11="","",IF('Data Entry'!J35="","",IF('Data Entry'!J35='Data Entry'!$D35,1,IF('Data Entry'!$D35="GOOD",0,-1))))</f>
        <v/>
      </c>
      <c r="K35" s="37" t="str">
        <f aca="false">IF($H$11="","",IF('Data Entry'!K35="","",IF('Data Entry'!K35='Data Entry'!$D35,1,IF('Data Entry'!$D35="GOOD",0,-1))))</f>
        <v/>
      </c>
      <c r="L35" s="38" t="str">
        <f aca="false">IF($H$11="","",IF('Data Entry'!L35="","",IF('Data Entry'!L35='Data Entry'!$D35,1,IF('Data Entry'!$D35="GOOD",0,-1))))</f>
        <v/>
      </c>
      <c r="M35" s="39" t="str">
        <f aca="false">IF($H$11="","",IF('Data Entry'!M35="","",IF('Data Entry'!M35='Data Entry'!$D35,1,IF('Data Entry'!$D35="GOOD",0,-1))))</f>
        <v/>
      </c>
      <c r="N35" s="37" t="str">
        <f aca="false">IF($H$11="","",IF('Data Entry'!N35="","",IF('Data Entry'!N35='Data Entry'!$D35,1,IF('Data Entry'!$D35="GOOD",0,-1))))</f>
        <v/>
      </c>
      <c r="O35" s="38" t="str">
        <f aca="false">IF($H$11="","",IF('Data Entry'!O35="","",IF('Data Entry'!O35='Data Entry'!$D35,1,IF('Data Entry'!$D35="GOOD",0,-1))))</f>
        <v/>
      </c>
      <c r="P35" s="39" t="str">
        <f aca="false">IF($H$11="","",IF('Data Entry'!P35="","",IF('Data Entry'!P35='Data Entry'!$D35,1,IF('Data Entry'!$D35="GOOD",0,-1))))</f>
        <v/>
      </c>
      <c r="Q35" s="37" t="str">
        <f aca="false">IF($H$11="","",IF('Data Entry'!Q35="","",IF('Data Entry'!Q35='Data Entry'!$D35,1,IF('Data Entry'!$D35="GOOD",0,-1))))</f>
        <v/>
      </c>
      <c r="R35" s="38" t="str">
        <f aca="false">IF($H$11="","",IF('Data Entry'!R35="","",IF('Data Entry'!R35='Data Entry'!$D35,1,IF('Data Entry'!$D35="GOOD",0,-1))))</f>
        <v/>
      </c>
      <c r="S35" s="39" t="str">
        <f aca="false">IF($H$11="","",IF('Data Entry'!S35="","",IF('Data Entry'!S35='Data Entry'!$D35,1,IF('Data Entry'!$D35="GOOD",0,-1))))</f>
        <v/>
      </c>
      <c r="T35" s="37" t="str">
        <f aca="false">IF($H$11="","",IF('Data Entry'!T35="","",IF('Data Entry'!T35='Data Entry'!$D35,1,IF('Data Entry'!$D35="GOOD",0,-1))))</f>
        <v/>
      </c>
      <c r="U35" s="38" t="str">
        <f aca="false">IF($H$11="","",IF('Data Entry'!U35="","",IF('Data Entry'!U35='Data Entry'!$D35,1,IF('Data Entry'!$D35="GOOD",0,-1))))</f>
        <v/>
      </c>
      <c r="V35" s="39" t="str">
        <f aca="false">IF($H$11="","",IF('Data Entry'!V35="","",IF('Data Entry'!V35='Data Entry'!$D35,1,IF('Data Entry'!$D35="GOOD",0,-1))))</f>
        <v/>
      </c>
      <c r="W35" s="37" t="str">
        <f aca="false">IF($H$11="","",IF('Data Entry'!W35="","",IF('Data Entry'!W35='Data Entry'!$D35,1,IF('Data Entry'!$D35="GOOD",0,-1))))</f>
        <v/>
      </c>
      <c r="X35" s="38" t="str">
        <f aca="false">IF($H$11="","",IF('Data Entry'!X35="","",IF('Data Entry'!X35='Data Entry'!$D35,1,IF('Data Entry'!$D35="GOOD",0,-1))))</f>
        <v/>
      </c>
      <c r="Y35" s="39" t="str">
        <f aca="false">IF($H$11="","",IF('Data Entry'!Y35="","",IF('Data Entry'!Y35='Data Entry'!$D35,1,IF('Data Entry'!$D35="GOOD",0,-1))))</f>
        <v/>
      </c>
      <c r="Z35" s="37" t="str">
        <f aca="false">IF($H$11="","",IF('Data Entry'!Z35="","",IF('Data Entry'!Z35='Data Entry'!$D35,1,IF('Data Entry'!$D35="GOOD",0,-1))))</f>
        <v/>
      </c>
      <c r="AA35" s="38" t="str">
        <f aca="false">IF($H$11="","",IF('Data Entry'!AA35="","",IF('Data Entry'!AA35='Data Entry'!$D35,1,IF('Data Entry'!$D35="GOOD",0,-1))))</f>
        <v/>
      </c>
      <c r="AB35" s="39" t="str">
        <f aca="false">IF($H$11="","",IF('Data Entry'!AB35="","",IF('Data Entry'!AB35='Data Entry'!$D35,1,IF('Data Entry'!$D35="GOOD",0,-1))))</f>
        <v/>
      </c>
      <c r="AC35" s="92" t="str">
        <f aca="false">'Data Entry'!AC35</f>
        <v/>
      </c>
      <c r="AD35" s="92" t="str">
        <f aca="false">'Data Entry'!AD35</f>
        <v/>
      </c>
      <c r="AE35" s="17" t="n">
        <f aca="false" t="array" ref="AE35:AE35">SUMPRODUCT((E35:AB35&lt;&gt;1)*(E35:AB35&lt;&gt;""))</f>
        <v>0</v>
      </c>
      <c r="AF35" s="17"/>
      <c r="AG35" s="17"/>
      <c r="AH35" s="17"/>
      <c r="AI35" s="17"/>
      <c r="AJ35" s="17"/>
      <c r="AK35" s="17"/>
      <c r="AL35" s="17"/>
      <c r="AM35" s="17"/>
      <c r="AN35" s="17"/>
    </row>
    <row r="36" s="1" customFormat="true" ht="15.75" hidden="false" customHeight="true" outlineLevel="0" collapsed="false">
      <c r="A36" s="17"/>
      <c r="B36" s="17"/>
      <c r="C36" s="36" t="n">
        <v>24</v>
      </c>
      <c r="D36" s="91" t="n">
        <f aca="false">'Data Entry'!D36</f>
        <v>0</v>
      </c>
      <c r="E36" s="37" t="str">
        <f aca="false">IF($E$11="","",IF('Data Entry'!E36="","",IF('Data Entry'!E36='Data Entry'!$D36,1,IF('Data Entry'!$D36="GOOD",0,-1))))</f>
        <v/>
      </c>
      <c r="F36" s="38" t="str">
        <f aca="false">IF($E$11="","",IF('Data Entry'!F36="","",IF('Data Entry'!F36='Data Entry'!$D36,1,IF('Data Entry'!$D36="GOOD",0,-1))))</f>
        <v/>
      </c>
      <c r="G36" s="39" t="str">
        <f aca="false">IF($E$11="","",IF('Data Entry'!G36="","",IF('Data Entry'!G36='Data Entry'!$D36,1,IF('Data Entry'!$D36="GOOD",0,-1))))</f>
        <v/>
      </c>
      <c r="H36" s="37" t="str">
        <f aca="false">IF($H$11="","",IF('Data Entry'!H36="","",IF('Data Entry'!H36='Data Entry'!$D36,1,IF('Data Entry'!$D36="GOOD",0,-1))))</f>
        <v/>
      </c>
      <c r="I36" s="38" t="str">
        <f aca="false">IF($H$11="","",IF('Data Entry'!I36="","",IF('Data Entry'!I36='Data Entry'!$D36,1,IF('Data Entry'!$D36="GOOD",0,-1))))</f>
        <v/>
      </c>
      <c r="J36" s="39" t="str">
        <f aca="false">IF($H$11="","",IF('Data Entry'!J36="","",IF('Data Entry'!J36='Data Entry'!$D36,1,IF('Data Entry'!$D36="GOOD",0,-1))))</f>
        <v/>
      </c>
      <c r="K36" s="37" t="str">
        <f aca="false">IF($H$11="","",IF('Data Entry'!K36="","",IF('Data Entry'!K36='Data Entry'!$D36,1,IF('Data Entry'!$D36="GOOD",0,-1))))</f>
        <v/>
      </c>
      <c r="L36" s="38" t="str">
        <f aca="false">IF($H$11="","",IF('Data Entry'!L36="","",IF('Data Entry'!L36='Data Entry'!$D36,1,IF('Data Entry'!$D36="GOOD",0,-1))))</f>
        <v/>
      </c>
      <c r="M36" s="39" t="str">
        <f aca="false">IF($H$11="","",IF('Data Entry'!M36="","",IF('Data Entry'!M36='Data Entry'!$D36,1,IF('Data Entry'!$D36="GOOD",0,-1))))</f>
        <v/>
      </c>
      <c r="N36" s="37" t="str">
        <f aca="false">IF($H$11="","",IF('Data Entry'!N36="","",IF('Data Entry'!N36='Data Entry'!$D36,1,IF('Data Entry'!$D36="GOOD",0,-1))))</f>
        <v/>
      </c>
      <c r="O36" s="38" t="str">
        <f aca="false">IF($H$11="","",IF('Data Entry'!O36="","",IF('Data Entry'!O36='Data Entry'!$D36,1,IF('Data Entry'!$D36="GOOD",0,-1))))</f>
        <v/>
      </c>
      <c r="P36" s="39" t="str">
        <f aca="false">IF($H$11="","",IF('Data Entry'!P36="","",IF('Data Entry'!P36='Data Entry'!$D36,1,IF('Data Entry'!$D36="GOOD",0,-1))))</f>
        <v/>
      </c>
      <c r="Q36" s="37" t="str">
        <f aca="false">IF($H$11="","",IF('Data Entry'!Q36="","",IF('Data Entry'!Q36='Data Entry'!$D36,1,IF('Data Entry'!$D36="GOOD",0,-1))))</f>
        <v/>
      </c>
      <c r="R36" s="38" t="str">
        <f aca="false">IF($H$11="","",IF('Data Entry'!R36="","",IF('Data Entry'!R36='Data Entry'!$D36,1,IF('Data Entry'!$D36="GOOD",0,-1))))</f>
        <v/>
      </c>
      <c r="S36" s="39" t="str">
        <f aca="false">IF($H$11="","",IF('Data Entry'!S36="","",IF('Data Entry'!S36='Data Entry'!$D36,1,IF('Data Entry'!$D36="GOOD",0,-1))))</f>
        <v/>
      </c>
      <c r="T36" s="37" t="str">
        <f aca="false">IF($H$11="","",IF('Data Entry'!T36="","",IF('Data Entry'!T36='Data Entry'!$D36,1,IF('Data Entry'!$D36="GOOD",0,-1))))</f>
        <v/>
      </c>
      <c r="U36" s="38" t="str">
        <f aca="false">IF($H$11="","",IF('Data Entry'!U36="","",IF('Data Entry'!U36='Data Entry'!$D36,1,IF('Data Entry'!$D36="GOOD",0,-1))))</f>
        <v/>
      </c>
      <c r="V36" s="39" t="str">
        <f aca="false">IF($H$11="","",IF('Data Entry'!V36="","",IF('Data Entry'!V36='Data Entry'!$D36,1,IF('Data Entry'!$D36="GOOD",0,-1))))</f>
        <v/>
      </c>
      <c r="W36" s="37" t="str">
        <f aca="false">IF($H$11="","",IF('Data Entry'!W36="","",IF('Data Entry'!W36='Data Entry'!$D36,1,IF('Data Entry'!$D36="GOOD",0,-1))))</f>
        <v/>
      </c>
      <c r="X36" s="38" t="str">
        <f aca="false">IF($H$11="","",IF('Data Entry'!X36="","",IF('Data Entry'!X36='Data Entry'!$D36,1,IF('Data Entry'!$D36="GOOD",0,-1))))</f>
        <v/>
      </c>
      <c r="Y36" s="39" t="str">
        <f aca="false">IF($H$11="","",IF('Data Entry'!Y36="","",IF('Data Entry'!Y36='Data Entry'!$D36,1,IF('Data Entry'!$D36="GOOD",0,-1))))</f>
        <v/>
      </c>
      <c r="Z36" s="37" t="str">
        <f aca="false">IF($H$11="","",IF('Data Entry'!Z36="","",IF('Data Entry'!Z36='Data Entry'!$D36,1,IF('Data Entry'!$D36="GOOD",0,-1))))</f>
        <v/>
      </c>
      <c r="AA36" s="38" t="str">
        <f aca="false">IF($H$11="","",IF('Data Entry'!AA36="","",IF('Data Entry'!AA36='Data Entry'!$D36,1,IF('Data Entry'!$D36="GOOD",0,-1))))</f>
        <v/>
      </c>
      <c r="AB36" s="39" t="str">
        <f aca="false">IF($H$11="","",IF('Data Entry'!AB36="","",IF('Data Entry'!AB36='Data Entry'!$D36,1,IF('Data Entry'!$D36="GOOD",0,-1))))</f>
        <v/>
      </c>
      <c r="AC36" s="92" t="str">
        <f aca="false">'Data Entry'!AC36</f>
        <v/>
      </c>
      <c r="AD36" s="92" t="str">
        <f aca="false">'Data Entry'!AD36</f>
        <v/>
      </c>
      <c r="AE36" s="17" t="n">
        <f aca="false" t="array" ref="AE36:AE36">SUMPRODUCT((E36:AB36&lt;&gt;1)*(E36:AB36&lt;&gt;""))</f>
        <v>0</v>
      </c>
      <c r="AF36" s="17"/>
      <c r="AG36" s="17"/>
      <c r="AH36" s="17"/>
      <c r="AI36" s="17"/>
      <c r="AJ36" s="17"/>
      <c r="AK36" s="17"/>
      <c r="AL36" s="17"/>
      <c r="AM36" s="17"/>
      <c r="AN36" s="17"/>
    </row>
    <row r="37" s="1" customFormat="true" ht="15.75" hidden="false" customHeight="true" outlineLevel="0" collapsed="false">
      <c r="A37" s="17"/>
      <c r="B37" s="17"/>
      <c r="C37" s="36" t="n">
        <v>25</v>
      </c>
      <c r="D37" s="91" t="n">
        <f aca="false">'Data Entry'!D37</f>
        <v>0</v>
      </c>
      <c r="E37" s="37" t="str">
        <f aca="false">IF($E$11="","",IF('Data Entry'!E37="","",IF('Data Entry'!E37='Data Entry'!$D37,1,IF('Data Entry'!$D37="GOOD",0,-1))))</f>
        <v/>
      </c>
      <c r="F37" s="38" t="str">
        <f aca="false">IF($E$11="","",IF('Data Entry'!F37="","",IF('Data Entry'!F37='Data Entry'!$D37,1,IF('Data Entry'!$D37="GOOD",0,-1))))</f>
        <v/>
      </c>
      <c r="G37" s="39" t="str">
        <f aca="false">IF($E$11="","",IF('Data Entry'!G37="","",IF('Data Entry'!G37='Data Entry'!$D37,1,IF('Data Entry'!$D37="GOOD",0,-1))))</f>
        <v/>
      </c>
      <c r="H37" s="37" t="str">
        <f aca="false">IF($H$11="","",IF('Data Entry'!H37="","",IF('Data Entry'!H37='Data Entry'!$D37,1,IF('Data Entry'!$D37="GOOD",0,-1))))</f>
        <v/>
      </c>
      <c r="I37" s="38" t="str">
        <f aca="false">IF($H$11="","",IF('Data Entry'!I37="","",IF('Data Entry'!I37='Data Entry'!$D37,1,IF('Data Entry'!$D37="GOOD",0,-1))))</f>
        <v/>
      </c>
      <c r="J37" s="39" t="str">
        <f aca="false">IF($H$11="","",IF('Data Entry'!J37="","",IF('Data Entry'!J37='Data Entry'!$D37,1,IF('Data Entry'!$D37="GOOD",0,-1))))</f>
        <v/>
      </c>
      <c r="K37" s="37" t="str">
        <f aca="false">IF($H$11="","",IF('Data Entry'!K37="","",IF('Data Entry'!K37='Data Entry'!$D37,1,IF('Data Entry'!$D37="GOOD",0,-1))))</f>
        <v/>
      </c>
      <c r="L37" s="38" t="str">
        <f aca="false">IF($H$11="","",IF('Data Entry'!L37="","",IF('Data Entry'!L37='Data Entry'!$D37,1,IF('Data Entry'!$D37="GOOD",0,-1))))</f>
        <v/>
      </c>
      <c r="M37" s="39" t="str">
        <f aca="false">IF($H$11="","",IF('Data Entry'!M37="","",IF('Data Entry'!M37='Data Entry'!$D37,1,IF('Data Entry'!$D37="GOOD",0,-1))))</f>
        <v/>
      </c>
      <c r="N37" s="37" t="str">
        <f aca="false">IF($H$11="","",IF('Data Entry'!N37="","",IF('Data Entry'!N37='Data Entry'!$D37,1,IF('Data Entry'!$D37="GOOD",0,-1))))</f>
        <v/>
      </c>
      <c r="O37" s="38" t="str">
        <f aca="false">IF($H$11="","",IF('Data Entry'!O37="","",IF('Data Entry'!O37='Data Entry'!$D37,1,IF('Data Entry'!$D37="GOOD",0,-1))))</f>
        <v/>
      </c>
      <c r="P37" s="39" t="str">
        <f aca="false">IF($H$11="","",IF('Data Entry'!P37="","",IF('Data Entry'!P37='Data Entry'!$D37,1,IF('Data Entry'!$D37="GOOD",0,-1))))</f>
        <v/>
      </c>
      <c r="Q37" s="37" t="str">
        <f aca="false">IF($H$11="","",IF('Data Entry'!Q37="","",IF('Data Entry'!Q37='Data Entry'!$D37,1,IF('Data Entry'!$D37="GOOD",0,-1))))</f>
        <v/>
      </c>
      <c r="R37" s="38" t="str">
        <f aca="false">IF($H$11="","",IF('Data Entry'!R37="","",IF('Data Entry'!R37='Data Entry'!$D37,1,IF('Data Entry'!$D37="GOOD",0,-1))))</f>
        <v/>
      </c>
      <c r="S37" s="39" t="str">
        <f aca="false">IF($H$11="","",IF('Data Entry'!S37="","",IF('Data Entry'!S37='Data Entry'!$D37,1,IF('Data Entry'!$D37="GOOD",0,-1))))</f>
        <v/>
      </c>
      <c r="T37" s="37" t="str">
        <f aca="false">IF($H$11="","",IF('Data Entry'!T37="","",IF('Data Entry'!T37='Data Entry'!$D37,1,IF('Data Entry'!$D37="GOOD",0,-1))))</f>
        <v/>
      </c>
      <c r="U37" s="38" t="str">
        <f aca="false">IF($H$11="","",IF('Data Entry'!U37="","",IF('Data Entry'!U37='Data Entry'!$D37,1,IF('Data Entry'!$D37="GOOD",0,-1))))</f>
        <v/>
      </c>
      <c r="V37" s="39" t="str">
        <f aca="false">IF($H$11="","",IF('Data Entry'!V37="","",IF('Data Entry'!V37='Data Entry'!$D37,1,IF('Data Entry'!$D37="GOOD",0,-1))))</f>
        <v/>
      </c>
      <c r="W37" s="37" t="str">
        <f aca="false">IF($H$11="","",IF('Data Entry'!W37="","",IF('Data Entry'!W37='Data Entry'!$D37,1,IF('Data Entry'!$D37="GOOD",0,-1))))</f>
        <v/>
      </c>
      <c r="X37" s="38" t="str">
        <f aca="false">IF($H$11="","",IF('Data Entry'!X37="","",IF('Data Entry'!X37='Data Entry'!$D37,1,IF('Data Entry'!$D37="GOOD",0,-1))))</f>
        <v/>
      </c>
      <c r="Y37" s="39" t="str">
        <f aca="false">IF($H$11="","",IF('Data Entry'!Y37="","",IF('Data Entry'!Y37='Data Entry'!$D37,1,IF('Data Entry'!$D37="GOOD",0,-1))))</f>
        <v/>
      </c>
      <c r="Z37" s="37" t="str">
        <f aca="false">IF($H$11="","",IF('Data Entry'!Z37="","",IF('Data Entry'!Z37='Data Entry'!$D37,1,IF('Data Entry'!$D37="GOOD",0,-1))))</f>
        <v/>
      </c>
      <c r="AA37" s="38" t="str">
        <f aca="false">IF($H$11="","",IF('Data Entry'!AA37="","",IF('Data Entry'!AA37='Data Entry'!$D37,1,IF('Data Entry'!$D37="GOOD",0,-1))))</f>
        <v/>
      </c>
      <c r="AB37" s="39" t="str">
        <f aca="false">IF($H$11="","",IF('Data Entry'!AB37="","",IF('Data Entry'!AB37='Data Entry'!$D37,1,IF('Data Entry'!$D37="GOOD",0,-1))))</f>
        <v/>
      </c>
      <c r="AC37" s="92" t="str">
        <f aca="false">'Data Entry'!AC37</f>
        <v/>
      </c>
      <c r="AD37" s="92" t="str">
        <f aca="false">'Data Entry'!AD37</f>
        <v/>
      </c>
      <c r="AE37" s="17" t="n">
        <f aca="false" t="array" ref="AE37:AE37">SUMPRODUCT((E37:AB37&lt;&gt;1)*(E37:AB37&lt;&gt;""))</f>
        <v>0</v>
      </c>
      <c r="AF37" s="17"/>
      <c r="AG37" s="17"/>
      <c r="AH37" s="17"/>
      <c r="AI37" s="17"/>
      <c r="AJ37" s="17"/>
      <c r="AK37" s="17"/>
      <c r="AL37" s="17"/>
      <c r="AM37" s="17"/>
      <c r="AN37" s="17"/>
    </row>
    <row r="38" s="1" customFormat="true" ht="15.75" hidden="false" customHeight="true" outlineLevel="0" collapsed="false">
      <c r="A38" s="17"/>
      <c r="B38" s="17"/>
      <c r="C38" s="36" t="n">
        <v>26</v>
      </c>
      <c r="D38" s="91" t="n">
        <f aca="false">'Data Entry'!D38</f>
        <v>0</v>
      </c>
      <c r="E38" s="45" t="str">
        <f aca="false">IF($E$11="","",IF('Data Entry'!E38="","",IF('Data Entry'!E38='Data Entry'!$D38,1,IF('Data Entry'!$D38="GOOD",0,-1))))</f>
        <v/>
      </c>
      <c r="F38" s="46" t="str">
        <f aca="false">IF($E$11="","",IF('Data Entry'!F38="","",IF('Data Entry'!F38='Data Entry'!$D38,1,IF('Data Entry'!$D38="GOOD",0,-1))))</f>
        <v/>
      </c>
      <c r="G38" s="47" t="str">
        <f aca="false">IF($E$11="","",IF('Data Entry'!G38="","",IF('Data Entry'!G38='Data Entry'!$D38,1,IF('Data Entry'!$D38="GOOD",0,-1))))</f>
        <v/>
      </c>
      <c r="H38" s="45" t="str">
        <f aca="false">IF($H$11="","",IF('Data Entry'!H38="","",IF('Data Entry'!H38='Data Entry'!$D38,1,IF('Data Entry'!$D38="GOOD",0,-1))))</f>
        <v/>
      </c>
      <c r="I38" s="46" t="str">
        <f aca="false">IF($H$11="","",IF('Data Entry'!I38="","",IF('Data Entry'!I38='Data Entry'!$D38,1,IF('Data Entry'!$D38="GOOD",0,-1))))</f>
        <v/>
      </c>
      <c r="J38" s="47" t="str">
        <f aca="false">IF($H$11="","",IF('Data Entry'!J38="","",IF('Data Entry'!J38='Data Entry'!$D38,1,IF('Data Entry'!$D38="GOOD",0,-1))))</f>
        <v/>
      </c>
      <c r="K38" s="45" t="str">
        <f aca="false">IF($H$11="","",IF('Data Entry'!K38="","",IF('Data Entry'!K38='Data Entry'!$D38,1,IF('Data Entry'!$D38="GOOD",0,-1))))</f>
        <v/>
      </c>
      <c r="L38" s="46" t="str">
        <f aca="false">IF($H$11="","",IF('Data Entry'!L38="","",IF('Data Entry'!L38='Data Entry'!$D38,1,IF('Data Entry'!$D38="GOOD",0,-1))))</f>
        <v/>
      </c>
      <c r="M38" s="47" t="str">
        <f aca="false">IF($H$11="","",IF('Data Entry'!M38="","",IF('Data Entry'!M38='Data Entry'!$D38,1,IF('Data Entry'!$D38="GOOD",0,-1))))</f>
        <v/>
      </c>
      <c r="N38" s="45" t="str">
        <f aca="false">IF($H$11="","",IF('Data Entry'!N38="","",IF('Data Entry'!N38='Data Entry'!$D38,1,IF('Data Entry'!$D38="GOOD",0,-1))))</f>
        <v/>
      </c>
      <c r="O38" s="46" t="str">
        <f aca="false">IF($H$11="","",IF('Data Entry'!O38="","",IF('Data Entry'!O38='Data Entry'!$D38,1,IF('Data Entry'!$D38="GOOD",0,-1))))</f>
        <v/>
      </c>
      <c r="P38" s="47" t="str">
        <f aca="false">IF($H$11="","",IF('Data Entry'!P38="","",IF('Data Entry'!P38='Data Entry'!$D38,1,IF('Data Entry'!$D38="GOOD",0,-1))))</f>
        <v/>
      </c>
      <c r="Q38" s="45" t="str">
        <f aca="false">IF($H$11="","",IF('Data Entry'!Q38="","",IF('Data Entry'!Q38='Data Entry'!$D38,1,IF('Data Entry'!$D38="GOOD",0,-1))))</f>
        <v/>
      </c>
      <c r="R38" s="46" t="str">
        <f aca="false">IF($H$11="","",IF('Data Entry'!R38="","",IF('Data Entry'!R38='Data Entry'!$D38,1,IF('Data Entry'!$D38="GOOD",0,-1))))</f>
        <v/>
      </c>
      <c r="S38" s="47" t="str">
        <f aca="false">IF($H$11="","",IF('Data Entry'!S38="","",IF('Data Entry'!S38='Data Entry'!$D38,1,IF('Data Entry'!$D38="GOOD",0,-1))))</f>
        <v/>
      </c>
      <c r="T38" s="45" t="str">
        <f aca="false">IF($H$11="","",IF('Data Entry'!T38="","",IF('Data Entry'!T38='Data Entry'!$D38,1,IF('Data Entry'!$D38="GOOD",0,-1))))</f>
        <v/>
      </c>
      <c r="U38" s="46" t="str">
        <f aca="false">IF($H$11="","",IF('Data Entry'!U38="","",IF('Data Entry'!U38='Data Entry'!$D38,1,IF('Data Entry'!$D38="GOOD",0,-1))))</f>
        <v/>
      </c>
      <c r="V38" s="47" t="str">
        <f aca="false">IF($H$11="","",IF('Data Entry'!V38="","",IF('Data Entry'!V38='Data Entry'!$D38,1,IF('Data Entry'!$D38="GOOD",0,-1))))</f>
        <v/>
      </c>
      <c r="W38" s="45" t="str">
        <f aca="false">IF($H$11="","",IF('Data Entry'!W38="","",IF('Data Entry'!W38='Data Entry'!$D38,1,IF('Data Entry'!$D38="GOOD",0,-1))))</f>
        <v/>
      </c>
      <c r="X38" s="46" t="str">
        <f aca="false">IF($H$11="","",IF('Data Entry'!X38="","",IF('Data Entry'!X38='Data Entry'!$D38,1,IF('Data Entry'!$D38="GOOD",0,-1))))</f>
        <v/>
      </c>
      <c r="Y38" s="47" t="str">
        <f aca="false">IF($H$11="","",IF('Data Entry'!Y38="","",IF('Data Entry'!Y38='Data Entry'!$D38,1,IF('Data Entry'!$D38="GOOD",0,-1))))</f>
        <v/>
      </c>
      <c r="Z38" s="45" t="str">
        <f aca="false">IF($H$11="","",IF('Data Entry'!Z38="","",IF('Data Entry'!Z38='Data Entry'!$D38,1,IF('Data Entry'!$D38="GOOD",0,-1))))</f>
        <v/>
      </c>
      <c r="AA38" s="46" t="str">
        <f aca="false">IF($H$11="","",IF('Data Entry'!AA38="","",IF('Data Entry'!AA38='Data Entry'!$D38,1,IF('Data Entry'!$D38="GOOD",0,-1))))</f>
        <v/>
      </c>
      <c r="AB38" s="47" t="str">
        <f aca="false">IF($H$11="","",IF('Data Entry'!AB38="","",IF('Data Entry'!AB38='Data Entry'!$D38,1,IF('Data Entry'!$D38="GOOD",0,-1))))</f>
        <v/>
      </c>
      <c r="AC38" s="92" t="str">
        <f aca="false">'Data Entry'!AC38</f>
        <v/>
      </c>
      <c r="AD38" s="92" t="str">
        <f aca="false">'Data Entry'!AD38</f>
        <v/>
      </c>
      <c r="AE38" s="17" t="n">
        <f aca="false" t="array" ref="AE38:AE38">SUMPRODUCT((E38:AB38&lt;&gt;1)*(E38:AB38&lt;&gt;""))</f>
        <v>0</v>
      </c>
      <c r="AF38" s="17"/>
      <c r="AG38" s="17"/>
      <c r="AH38" s="17"/>
      <c r="AI38" s="17"/>
      <c r="AJ38" s="17"/>
      <c r="AK38" s="17"/>
      <c r="AL38" s="17"/>
      <c r="AM38" s="17"/>
      <c r="AN38" s="17"/>
    </row>
    <row r="39" s="1" customFormat="true" ht="15.75" hidden="false" customHeight="true" outlineLevel="0" collapsed="false">
      <c r="A39" s="17"/>
      <c r="B39" s="17"/>
      <c r="C39" s="36" t="n">
        <v>27</v>
      </c>
      <c r="D39" s="91" t="n">
        <f aca="false">'Data Entry'!D39</f>
        <v>0</v>
      </c>
      <c r="E39" s="37" t="str">
        <f aca="false">IF($E$11="","",IF('Data Entry'!E39="","",IF('Data Entry'!E39='Data Entry'!$D39,1,IF('Data Entry'!$D39="GOOD",0,-1))))</f>
        <v/>
      </c>
      <c r="F39" s="38" t="str">
        <f aca="false">IF($E$11="","",IF('Data Entry'!F39="","",IF('Data Entry'!F39='Data Entry'!$D39,1,IF('Data Entry'!$D39="GOOD",0,-1))))</f>
        <v/>
      </c>
      <c r="G39" s="39" t="str">
        <f aca="false">IF($E$11="","",IF('Data Entry'!G39="","",IF('Data Entry'!G39='Data Entry'!$D39,1,IF('Data Entry'!$D39="GOOD",0,-1))))</f>
        <v/>
      </c>
      <c r="H39" s="37" t="str">
        <f aca="false">IF($H$11="","",IF('Data Entry'!H39="","",IF('Data Entry'!H39='Data Entry'!$D39,1,IF('Data Entry'!$D39="GOOD",0,-1))))</f>
        <v/>
      </c>
      <c r="I39" s="38" t="str">
        <f aca="false">IF($H$11="","",IF('Data Entry'!I39="","",IF('Data Entry'!I39='Data Entry'!$D39,1,IF('Data Entry'!$D39="GOOD",0,-1))))</f>
        <v/>
      </c>
      <c r="J39" s="39" t="str">
        <f aca="false">IF($H$11="","",IF('Data Entry'!J39="","",IF('Data Entry'!J39='Data Entry'!$D39,1,IF('Data Entry'!$D39="GOOD",0,-1))))</f>
        <v/>
      </c>
      <c r="K39" s="37" t="str">
        <f aca="false">IF($H$11="","",IF('Data Entry'!K39="","",IF('Data Entry'!K39='Data Entry'!$D39,1,IF('Data Entry'!$D39="GOOD",0,-1))))</f>
        <v/>
      </c>
      <c r="L39" s="38" t="str">
        <f aca="false">IF($H$11="","",IF('Data Entry'!L39="","",IF('Data Entry'!L39='Data Entry'!$D39,1,IF('Data Entry'!$D39="GOOD",0,-1))))</f>
        <v/>
      </c>
      <c r="M39" s="39" t="str">
        <f aca="false">IF($H$11="","",IF('Data Entry'!M39="","",IF('Data Entry'!M39='Data Entry'!$D39,1,IF('Data Entry'!$D39="GOOD",0,-1))))</f>
        <v/>
      </c>
      <c r="N39" s="37" t="str">
        <f aca="false">IF($H$11="","",IF('Data Entry'!N39="","",IF('Data Entry'!N39='Data Entry'!$D39,1,IF('Data Entry'!$D39="GOOD",0,-1))))</f>
        <v/>
      </c>
      <c r="O39" s="38" t="str">
        <f aca="false">IF($H$11="","",IF('Data Entry'!O39="","",IF('Data Entry'!O39='Data Entry'!$D39,1,IF('Data Entry'!$D39="GOOD",0,-1))))</f>
        <v/>
      </c>
      <c r="P39" s="39" t="str">
        <f aca="false">IF($H$11="","",IF('Data Entry'!P39="","",IF('Data Entry'!P39='Data Entry'!$D39,1,IF('Data Entry'!$D39="GOOD",0,-1))))</f>
        <v/>
      </c>
      <c r="Q39" s="37" t="str">
        <f aca="false">IF($H$11="","",IF('Data Entry'!Q39="","",IF('Data Entry'!Q39='Data Entry'!$D39,1,IF('Data Entry'!$D39="GOOD",0,-1))))</f>
        <v/>
      </c>
      <c r="R39" s="38" t="str">
        <f aca="false">IF($H$11="","",IF('Data Entry'!R39="","",IF('Data Entry'!R39='Data Entry'!$D39,1,IF('Data Entry'!$D39="GOOD",0,-1))))</f>
        <v/>
      </c>
      <c r="S39" s="39" t="str">
        <f aca="false">IF($H$11="","",IF('Data Entry'!S39="","",IF('Data Entry'!S39='Data Entry'!$D39,1,IF('Data Entry'!$D39="GOOD",0,-1))))</f>
        <v/>
      </c>
      <c r="T39" s="37" t="str">
        <f aca="false">IF($H$11="","",IF('Data Entry'!T39="","",IF('Data Entry'!T39='Data Entry'!$D39,1,IF('Data Entry'!$D39="GOOD",0,-1))))</f>
        <v/>
      </c>
      <c r="U39" s="38" t="str">
        <f aca="false">IF($H$11="","",IF('Data Entry'!U39="","",IF('Data Entry'!U39='Data Entry'!$D39,1,IF('Data Entry'!$D39="GOOD",0,-1))))</f>
        <v/>
      </c>
      <c r="V39" s="39" t="str">
        <f aca="false">IF($H$11="","",IF('Data Entry'!V39="","",IF('Data Entry'!V39='Data Entry'!$D39,1,IF('Data Entry'!$D39="GOOD",0,-1))))</f>
        <v/>
      </c>
      <c r="W39" s="37" t="str">
        <f aca="false">IF($H$11="","",IF('Data Entry'!W39="","",IF('Data Entry'!W39='Data Entry'!$D39,1,IF('Data Entry'!$D39="GOOD",0,-1))))</f>
        <v/>
      </c>
      <c r="X39" s="38" t="str">
        <f aca="false">IF($H$11="","",IF('Data Entry'!X39="","",IF('Data Entry'!X39='Data Entry'!$D39,1,IF('Data Entry'!$D39="GOOD",0,-1))))</f>
        <v/>
      </c>
      <c r="Y39" s="39" t="str">
        <f aca="false">IF($H$11="","",IF('Data Entry'!Y39="","",IF('Data Entry'!Y39='Data Entry'!$D39,1,IF('Data Entry'!$D39="GOOD",0,-1))))</f>
        <v/>
      </c>
      <c r="Z39" s="37" t="str">
        <f aca="false">IF($H$11="","",IF('Data Entry'!Z39="","",IF('Data Entry'!Z39='Data Entry'!$D39,1,IF('Data Entry'!$D39="GOOD",0,-1))))</f>
        <v/>
      </c>
      <c r="AA39" s="38" t="str">
        <f aca="false">IF($H$11="","",IF('Data Entry'!AA39="","",IF('Data Entry'!AA39='Data Entry'!$D39,1,IF('Data Entry'!$D39="GOOD",0,-1))))</f>
        <v/>
      </c>
      <c r="AB39" s="39" t="str">
        <f aca="false">IF($H$11="","",IF('Data Entry'!AB39="","",IF('Data Entry'!AB39='Data Entry'!$D39,1,IF('Data Entry'!$D39="GOOD",0,-1))))</f>
        <v/>
      </c>
      <c r="AC39" s="92" t="str">
        <f aca="false">'Data Entry'!AC39</f>
        <v/>
      </c>
      <c r="AD39" s="92" t="str">
        <f aca="false">'Data Entry'!AD39</f>
        <v/>
      </c>
      <c r="AE39" s="17" t="n">
        <f aca="false" t="array" ref="AE39:AE39">SUMPRODUCT((E39:AB39&lt;&gt;1)*(E39:AB39&lt;&gt;""))</f>
        <v>0</v>
      </c>
      <c r="AF39" s="17"/>
      <c r="AG39" s="17"/>
      <c r="AH39" s="17"/>
      <c r="AI39" s="17"/>
      <c r="AJ39" s="17"/>
      <c r="AK39" s="17"/>
      <c r="AL39" s="17"/>
      <c r="AM39" s="17"/>
      <c r="AN39" s="17"/>
    </row>
    <row r="40" s="1" customFormat="true" ht="15.75" hidden="false" customHeight="true" outlineLevel="0" collapsed="false">
      <c r="A40" s="17"/>
      <c r="B40" s="17"/>
      <c r="C40" s="36" t="n">
        <v>28</v>
      </c>
      <c r="D40" s="91" t="n">
        <f aca="false">'Data Entry'!D40</f>
        <v>0</v>
      </c>
      <c r="E40" s="37" t="str">
        <f aca="false">IF($E$11="","",IF('Data Entry'!E40="","",IF('Data Entry'!E40='Data Entry'!$D40,1,IF('Data Entry'!$D40="GOOD",0,-1))))</f>
        <v/>
      </c>
      <c r="F40" s="38" t="str">
        <f aca="false">IF($E$11="","",IF('Data Entry'!F40="","",IF('Data Entry'!F40='Data Entry'!$D40,1,IF('Data Entry'!$D40="GOOD",0,-1))))</f>
        <v/>
      </c>
      <c r="G40" s="39" t="str">
        <f aca="false">IF($E$11="","",IF('Data Entry'!G40="","",IF('Data Entry'!G40='Data Entry'!$D40,1,IF('Data Entry'!$D40="GOOD",0,-1))))</f>
        <v/>
      </c>
      <c r="H40" s="37" t="str">
        <f aca="false">IF($H$11="","",IF('Data Entry'!H40="","",IF('Data Entry'!H40='Data Entry'!$D40,1,IF('Data Entry'!$D40="GOOD",0,-1))))</f>
        <v/>
      </c>
      <c r="I40" s="38" t="str">
        <f aca="false">IF($H$11="","",IF('Data Entry'!I40="","",IF('Data Entry'!I40='Data Entry'!$D40,1,IF('Data Entry'!$D40="GOOD",0,-1))))</f>
        <v/>
      </c>
      <c r="J40" s="39" t="str">
        <f aca="false">IF($H$11="","",IF('Data Entry'!J40="","",IF('Data Entry'!J40='Data Entry'!$D40,1,IF('Data Entry'!$D40="GOOD",0,-1))))</f>
        <v/>
      </c>
      <c r="K40" s="37" t="str">
        <f aca="false">IF($H$11="","",IF('Data Entry'!K40="","",IF('Data Entry'!K40='Data Entry'!$D40,1,IF('Data Entry'!$D40="GOOD",0,-1))))</f>
        <v/>
      </c>
      <c r="L40" s="38" t="str">
        <f aca="false">IF($H$11="","",IF('Data Entry'!L40="","",IF('Data Entry'!L40='Data Entry'!$D40,1,IF('Data Entry'!$D40="GOOD",0,-1))))</f>
        <v/>
      </c>
      <c r="M40" s="39" t="str">
        <f aca="false">IF($H$11="","",IF('Data Entry'!M40="","",IF('Data Entry'!M40='Data Entry'!$D40,1,IF('Data Entry'!$D40="GOOD",0,-1))))</f>
        <v/>
      </c>
      <c r="N40" s="37" t="str">
        <f aca="false">IF($H$11="","",IF('Data Entry'!N40="","",IF('Data Entry'!N40='Data Entry'!$D40,1,IF('Data Entry'!$D40="GOOD",0,-1))))</f>
        <v/>
      </c>
      <c r="O40" s="38" t="str">
        <f aca="false">IF($H$11="","",IF('Data Entry'!O40="","",IF('Data Entry'!O40='Data Entry'!$D40,1,IF('Data Entry'!$D40="GOOD",0,-1))))</f>
        <v/>
      </c>
      <c r="P40" s="39" t="str">
        <f aca="false">IF($H$11="","",IF('Data Entry'!P40="","",IF('Data Entry'!P40='Data Entry'!$D40,1,IF('Data Entry'!$D40="GOOD",0,-1))))</f>
        <v/>
      </c>
      <c r="Q40" s="37" t="str">
        <f aca="false">IF($H$11="","",IF('Data Entry'!Q40="","",IF('Data Entry'!Q40='Data Entry'!$D40,1,IF('Data Entry'!$D40="GOOD",0,-1))))</f>
        <v/>
      </c>
      <c r="R40" s="38" t="str">
        <f aca="false">IF($H$11="","",IF('Data Entry'!R40="","",IF('Data Entry'!R40='Data Entry'!$D40,1,IF('Data Entry'!$D40="GOOD",0,-1))))</f>
        <v/>
      </c>
      <c r="S40" s="39" t="str">
        <f aca="false">IF($H$11="","",IF('Data Entry'!S40="","",IF('Data Entry'!S40='Data Entry'!$D40,1,IF('Data Entry'!$D40="GOOD",0,-1))))</f>
        <v/>
      </c>
      <c r="T40" s="37" t="str">
        <f aca="false">IF($H$11="","",IF('Data Entry'!T40="","",IF('Data Entry'!T40='Data Entry'!$D40,1,IF('Data Entry'!$D40="GOOD",0,-1))))</f>
        <v/>
      </c>
      <c r="U40" s="38" t="str">
        <f aca="false">IF($H$11="","",IF('Data Entry'!U40="","",IF('Data Entry'!U40='Data Entry'!$D40,1,IF('Data Entry'!$D40="GOOD",0,-1))))</f>
        <v/>
      </c>
      <c r="V40" s="39" t="str">
        <f aca="false">IF($H$11="","",IF('Data Entry'!V40="","",IF('Data Entry'!V40='Data Entry'!$D40,1,IF('Data Entry'!$D40="GOOD",0,-1))))</f>
        <v/>
      </c>
      <c r="W40" s="37" t="str">
        <f aca="false">IF($H$11="","",IF('Data Entry'!W40="","",IF('Data Entry'!W40='Data Entry'!$D40,1,IF('Data Entry'!$D40="GOOD",0,-1))))</f>
        <v/>
      </c>
      <c r="X40" s="38" t="str">
        <f aca="false">IF($H$11="","",IF('Data Entry'!X40="","",IF('Data Entry'!X40='Data Entry'!$D40,1,IF('Data Entry'!$D40="GOOD",0,-1))))</f>
        <v/>
      </c>
      <c r="Y40" s="39" t="str">
        <f aca="false">IF($H$11="","",IF('Data Entry'!Y40="","",IF('Data Entry'!Y40='Data Entry'!$D40,1,IF('Data Entry'!$D40="GOOD",0,-1))))</f>
        <v/>
      </c>
      <c r="Z40" s="37" t="str">
        <f aca="false">IF($H$11="","",IF('Data Entry'!Z40="","",IF('Data Entry'!Z40='Data Entry'!$D40,1,IF('Data Entry'!$D40="GOOD",0,-1))))</f>
        <v/>
      </c>
      <c r="AA40" s="38" t="str">
        <f aca="false">IF($H$11="","",IF('Data Entry'!AA40="","",IF('Data Entry'!AA40='Data Entry'!$D40,1,IF('Data Entry'!$D40="GOOD",0,-1))))</f>
        <v/>
      </c>
      <c r="AB40" s="39" t="str">
        <f aca="false">IF($H$11="","",IF('Data Entry'!AB40="","",IF('Data Entry'!AB40='Data Entry'!$D40,1,IF('Data Entry'!$D40="GOOD",0,-1))))</f>
        <v/>
      </c>
      <c r="AC40" s="92" t="str">
        <f aca="false">'Data Entry'!AC40</f>
        <v/>
      </c>
      <c r="AD40" s="92" t="str">
        <f aca="false">'Data Entry'!AD40</f>
        <v/>
      </c>
      <c r="AE40" s="17" t="n">
        <f aca="false" t="array" ref="AE40:AE40">SUMPRODUCT((E40:AB40&lt;&gt;1)*(E40:AB40&lt;&gt;""))</f>
        <v>0</v>
      </c>
      <c r="AF40" s="17"/>
      <c r="AG40" s="17"/>
      <c r="AH40" s="17"/>
      <c r="AI40" s="17"/>
      <c r="AJ40" s="17"/>
      <c r="AK40" s="17"/>
      <c r="AL40" s="17"/>
      <c r="AM40" s="17"/>
      <c r="AN40" s="17"/>
    </row>
    <row r="41" s="1" customFormat="true" ht="15.75" hidden="false" customHeight="true" outlineLevel="0" collapsed="false">
      <c r="A41" s="17"/>
      <c r="B41" s="17"/>
      <c r="C41" s="36" t="n">
        <v>29</v>
      </c>
      <c r="D41" s="91" t="n">
        <f aca="false">'Data Entry'!D41</f>
        <v>0</v>
      </c>
      <c r="E41" s="45" t="str">
        <f aca="false">IF($E$11="","",IF('Data Entry'!E41="","",IF('Data Entry'!E41='Data Entry'!$D41,1,IF('Data Entry'!$D41="GOOD",0,-1))))</f>
        <v/>
      </c>
      <c r="F41" s="46" t="str">
        <f aca="false">IF($E$11="","",IF('Data Entry'!F41="","",IF('Data Entry'!F41='Data Entry'!$D41,1,IF('Data Entry'!$D41="GOOD",0,-1))))</f>
        <v/>
      </c>
      <c r="G41" s="47" t="str">
        <f aca="false">IF($E$11="","",IF('Data Entry'!G41="","",IF('Data Entry'!G41='Data Entry'!$D41,1,IF('Data Entry'!$D41="GOOD",0,-1))))</f>
        <v/>
      </c>
      <c r="H41" s="45" t="str">
        <f aca="false">IF($H$11="","",IF('Data Entry'!H41="","",IF('Data Entry'!H41='Data Entry'!$D41,1,IF('Data Entry'!$D41="GOOD",0,-1))))</f>
        <v/>
      </c>
      <c r="I41" s="46" t="str">
        <f aca="false">IF($H$11="","",IF('Data Entry'!I41="","",IF('Data Entry'!I41='Data Entry'!$D41,1,IF('Data Entry'!$D41="GOOD",0,-1))))</f>
        <v/>
      </c>
      <c r="J41" s="47" t="str">
        <f aca="false">IF($H$11="","",IF('Data Entry'!J41="","",IF('Data Entry'!J41='Data Entry'!$D41,1,IF('Data Entry'!$D41="GOOD",0,-1))))</f>
        <v/>
      </c>
      <c r="K41" s="45" t="str">
        <f aca="false">IF($H$11="","",IF('Data Entry'!K41="","",IF('Data Entry'!K41='Data Entry'!$D41,1,IF('Data Entry'!$D41="GOOD",0,-1))))</f>
        <v/>
      </c>
      <c r="L41" s="46" t="str">
        <f aca="false">IF($H$11="","",IF('Data Entry'!L41="","",IF('Data Entry'!L41='Data Entry'!$D41,1,IF('Data Entry'!$D41="GOOD",0,-1))))</f>
        <v/>
      </c>
      <c r="M41" s="47" t="str">
        <f aca="false">IF($H$11="","",IF('Data Entry'!M41="","",IF('Data Entry'!M41='Data Entry'!$D41,1,IF('Data Entry'!$D41="GOOD",0,-1))))</f>
        <v/>
      </c>
      <c r="N41" s="45" t="str">
        <f aca="false">IF($H$11="","",IF('Data Entry'!N41="","",IF('Data Entry'!N41='Data Entry'!$D41,1,IF('Data Entry'!$D41="GOOD",0,-1))))</f>
        <v/>
      </c>
      <c r="O41" s="46" t="str">
        <f aca="false">IF($H$11="","",IF('Data Entry'!O41="","",IF('Data Entry'!O41='Data Entry'!$D41,1,IF('Data Entry'!$D41="GOOD",0,-1))))</f>
        <v/>
      </c>
      <c r="P41" s="47" t="str">
        <f aca="false">IF($H$11="","",IF('Data Entry'!P41="","",IF('Data Entry'!P41='Data Entry'!$D41,1,IF('Data Entry'!$D41="GOOD",0,-1))))</f>
        <v/>
      </c>
      <c r="Q41" s="45" t="str">
        <f aca="false">IF($H$11="","",IF('Data Entry'!Q41="","",IF('Data Entry'!Q41='Data Entry'!$D41,1,IF('Data Entry'!$D41="GOOD",0,-1))))</f>
        <v/>
      </c>
      <c r="R41" s="46" t="str">
        <f aca="false">IF($H$11="","",IF('Data Entry'!R41="","",IF('Data Entry'!R41='Data Entry'!$D41,1,IF('Data Entry'!$D41="GOOD",0,-1))))</f>
        <v/>
      </c>
      <c r="S41" s="47" t="str">
        <f aca="false">IF($H$11="","",IF('Data Entry'!S41="","",IF('Data Entry'!S41='Data Entry'!$D41,1,IF('Data Entry'!$D41="GOOD",0,-1))))</f>
        <v/>
      </c>
      <c r="T41" s="45" t="str">
        <f aca="false">IF($H$11="","",IF('Data Entry'!T41="","",IF('Data Entry'!T41='Data Entry'!$D41,1,IF('Data Entry'!$D41="GOOD",0,-1))))</f>
        <v/>
      </c>
      <c r="U41" s="46" t="str">
        <f aca="false">IF($H$11="","",IF('Data Entry'!U41="","",IF('Data Entry'!U41='Data Entry'!$D41,1,IF('Data Entry'!$D41="GOOD",0,-1))))</f>
        <v/>
      </c>
      <c r="V41" s="47" t="str">
        <f aca="false">IF($H$11="","",IF('Data Entry'!V41="","",IF('Data Entry'!V41='Data Entry'!$D41,1,IF('Data Entry'!$D41="GOOD",0,-1))))</f>
        <v/>
      </c>
      <c r="W41" s="45" t="str">
        <f aca="false">IF($H$11="","",IF('Data Entry'!W41="","",IF('Data Entry'!W41='Data Entry'!$D41,1,IF('Data Entry'!$D41="GOOD",0,-1))))</f>
        <v/>
      </c>
      <c r="X41" s="46" t="str">
        <f aca="false">IF($H$11="","",IF('Data Entry'!X41="","",IF('Data Entry'!X41='Data Entry'!$D41,1,IF('Data Entry'!$D41="GOOD",0,-1))))</f>
        <v/>
      </c>
      <c r="Y41" s="47" t="str">
        <f aca="false">IF($H$11="","",IF('Data Entry'!Y41="","",IF('Data Entry'!Y41='Data Entry'!$D41,1,IF('Data Entry'!$D41="GOOD",0,-1))))</f>
        <v/>
      </c>
      <c r="Z41" s="45" t="str">
        <f aca="false">IF($H$11="","",IF('Data Entry'!Z41="","",IF('Data Entry'!Z41='Data Entry'!$D41,1,IF('Data Entry'!$D41="GOOD",0,-1))))</f>
        <v/>
      </c>
      <c r="AA41" s="46" t="str">
        <f aca="false">IF($H$11="","",IF('Data Entry'!AA41="","",IF('Data Entry'!AA41='Data Entry'!$D41,1,IF('Data Entry'!$D41="GOOD",0,-1))))</f>
        <v/>
      </c>
      <c r="AB41" s="47" t="str">
        <f aca="false">IF($H$11="","",IF('Data Entry'!AB41="","",IF('Data Entry'!AB41='Data Entry'!$D41,1,IF('Data Entry'!$D41="GOOD",0,-1))))</f>
        <v/>
      </c>
      <c r="AC41" s="92" t="str">
        <f aca="false">'Data Entry'!AC41</f>
        <v/>
      </c>
      <c r="AD41" s="92" t="str">
        <f aca="false">'Data Entry'!AD41</f>
        <v/>
      </c>
      <c r="AE41" s="17" t="n">
        <f aca="false" t="array" ref="AE41:AE41">SUMPRODUCT((E41:AB41&lt;&gt;1)*(E41:AB41&lt;&gt;""))</f>
        <v>0</v>
      </c>
      <c r="AF41" s="17"/>
      <c r="AG41" s="17"/>
      <c r="AH41" s="17"/>
      <c r="AI41" s="17"/>
      <c r="AJ41" s="17"/>
      <c r="AK41" s="17"/>
      <c r="AL41" s="17"/>
      <c r="AM41" s="17"/>
      <c r="AN41" s="17"/>
    </row>
    <row r="42" s="1" customFormat="true" ht="15.75" hidden="false" customHeight="true" outlineLevel="0" collapsed="false">
      <c r="A42" s="17"/>
      <c r="B42" s="17"/>
      <c r="C42" s="36" t="n">
        <v>30</v>
      </c>
      <c r="D42" s="91" t="n">
        <f aca="false">'Data Entry'!D42</f>
        <v>0</v>
      </c>
      <c r="E42" s="37" t="str">
        <f aca="false">IF($E$11="","",IF('Data Entry'!E42="","",IF('Data Entry'!E42='Data Entry'!$D42,1,IF('Data Entry'!$D42="GOOD",0,-1))))</f>
        <v/>
      </c>
      <c r="F42" s="38" t="str">
        <f aca="false">IF($E$11="","",IF('Data Entry'!F42="","",IF('Data Entry'!F42='Data Entry'!$D42,1,IF('Data Entry'!$D42="GOOD",0,-1))))</f>
        <v/>
      </c>
      <c r="G42" s="39" t="str">
        <f aca="false">IF($E$11="","",IF('Data Entry'!G42="","",IF('Data Entry'!G42='Data Entry'!$D42,1,IF('Data Entry'!$D42="GOOD",0,-1))))</f>
        <v/>
      </c>
      <c r="H42" s="37" t="str">
        <f aca="false">IF($H$11="","",IF('Data Entry'!H42="","",IF('Data Entry'!H42='Data Entry'!$D42,1,IF('Data Entry'!$D42="GOOD",0,-1))))</f>
        <v/>
      </c>
      <c r="I42" s="38" t="str">
        <f aca="false">IF($H$11="","",IF('Data Entry'!I42="","",IF('Data Entry'!I42='Data Entry'!$D42,1,IF('Data Entry'!$D42="GOOD",0,-1))))</f>
        <v/>
      </c>
      <c r="J42" s="39" t="str">
        <f aca="false">IF($H$11="","",IF('Data Entry'!J42="","",IF('Data Entry'!J42='Data Entry'!$D42,1,IF('Data Entry'!$D42="GOOD",0,-1))))</f>
        <v/>
      </c>
      <c r="K42" s="37" t="str">
        <f aca="false">IF($H$11="","",IF('Data Entry'!K42="","",IF('Data Entry'!K42='Data Entry'!$D42,1,IF('Data Entry'!$D42="GOOD",0,-1))))</f>
        <v/>
      </c>
      <c r="L42" s="38" t="str">
        <f aca="false">IF($H$11="","",IF('Data Entry'!L42="","",IF('Data Entry'!L42='Data Entry'!$D42,1,IF('Data Entry'!$D42="GOOD",0,-1))))</f>
        <v/>
      </c>
      <c r="M42" s="39" t="str">
        <f aca="false">IF($H$11="","",IF('Data Entry'!M42="","",IF('Data Entry'!M42='Data Entry'!$D42,1,IF('Data Entry'!$D42="GOOD",0,-1))))</f>
        <v/>
      </c>
      <c r="N42" s="37" t="str">
        <f aca="false">IF($H$11="","",IF('Data Entry'!N42="","",IF('Data Entry'!N42='Data Entry'!$D42,1,IF('Data Entry'!$D42="GOOD",0,-1))))</f>
        <v/>
      </c>
      <c r="O42" s="38" t="str">
        <f aca="false">IF($H$11="","",IF('Data Entry'!O42="","",IF('Data Entry'!O42='Data Entry'!$D42,1,IF('Data Entry'!$D42="GOOD",0,-1))))</f>
        <v/>
      </c>
      <c r="P42" s="39" t="str">
        <f aca="false">IF($H$11="","",IF('Data Entry'!P42="","",IF('Data Entry'!P42='Data Entry'!$D42,1,IF('Data Entry'!$D42="GOOD",0,-1))))</f>
        <v/>
      </c>
      <c r="Q42" s="37" t="str">
        <f aca="false">IF($H$11="","",IF('Data Entry'!Q42="","",IF('Data Entry'!Q42='Data Entry'!$D42,1,IF('Data Entry'!$D42="GOOD",0,-1))))</f>
        <v/>
      </c>
      <c r="R42" s="38" t="str">
        <f aca="false">IF($H$11="","",IF('Data Entry'!R42="","",IF('Data Entry'!R42='Data Entry'!$D42,1,IF('Data Entry'!$D42="GOOD",0,-1))))</f>
        <v/>
      </c>
      <c r="S42" s="39" t="str">
        <f aca="false">IF($H$11="","",IF('Data Entry'!S42="","",IF('Data Entry'!S42='Data Entry'!$D42,1,IF('Data Entry'!$D42="GOOD",0,-1))))</f>
        <v/>
      </c>
      <c r="T42" s="37" t="str">
        <f aca="false">IF($H$11="","",IF('Data Entry'!T42="","",IF('Data Entry'!T42='Data Entry'!$D42,1,IF('Data Entry'!$D42="GOOD",0,-1))))</f>
        <v/>
      </c>
      <c r="U42" s="38" t="str">
        <f aca="false">IF($H$11="","",IF('Data Entry'!U42="","",IF('Data Entry'!U42='Data Entry'!$D42,1,IF('Data Entry'!$D42="GOOD",0,-1))))</f>
        <v/>
      </c>
      <c r="V42" s="39" t="str">
        <f aca="false">IF($H$11="","",IF('Data Entry'!V42="","",IF('Data Entry'!V42='Data Entry'!$D42,1,IF('Data Entry'!$D42="GOOD",0,-1))))</f>
        <v/>
      </c>
      <c r="W42" s="37" t="str">
        <f aca="false">IF($H$11="","",IF('Data Entry'!W42="","",IF('Data Entry'!W42='Data Entry'!$D42,1,IF('Data Entry'!$D42="GOOD",0,-1))))</f>
        <v/>
      </c>
      <c r="X42" s="38" t="str">
        <f aca="false">IF($H$11="","",IF('Data Entry'!X42="","",IF('Data Entry'!X42='Data Entry'!$D42,1,IF('Data Entry'!$D42="GOOD",0,-1))))</f>
        <v/>
      </c>
      <c r="Y42" s="39" t="str">
        <f aca="false">IF($H$11="","",IF('Data Entry'!Y42="","",IF('Data Entry'!Y42='Data Entry'!$D42,1,IF('Data Entry'!$D42="GOOD",0,-1))))</f>
        <v/>
      </c>
      <c r="Z42" s="37" t="str">
        <f aca="false">IF($H$11="","",IF('Data Entry'!Z42="","",IF('Data Entry'!Z42='Data Entry'!$D42,1,IF('Data Entry'!$D42="GOOD",0,-1))))</f>
        <v/>
      </c>
      <c r="AA42" s="38" t="str">
        <f aca="false">IF($H$11="","",IF('Data Entry'!AA42="","",IF('Data Entry'!AA42='Data Entry'!$D42,1,IF('Data Entry'!$D42="GOOD",0,-1))))</f>
        <v/>
      </c>
      <c r="AB42" s="39" t="str">
        <f aca="false">IF($H$11="","",IF('Data Entry'!AB42="","",IF('Data Entry'!AB42='Data Entry'!$D42,1,IF('Data Entry'!$D42="GOOD",0,-1))))</f>
        <v/>
      </c>
      <c r="AC42" s="92" t="str">
        <f aca="false">'Data Entry'!AC42</f>
        <v/>
      </c>
      <c r="AD42" s="92" t="str">
        <f aca="false">'Data Entry'!AD42</f>
        <v/>
      </c>
      <c r="AE42" s="17" t="n">
        <f aca="false" t="array" ref="AE42:AE42">SUMPRODUCT((E42:AB42&lt;&gt;1)*(E42:AB42&lt;&gt;""))</f>
        <v>0</v>
      </c>
      <c r="AF42" s="17"/>
      <c r="AG42" s="17"/>
      <c r="AH42" s="17"/>
      <c r="AI42" s="17"/>
      <c r="AJ42" s="17"/>
      <c r="AK42" s="17"/>
      <c r="AL42" s="17"/>
      <c r="AM42" s="17"/>
      <c r="AN42" s="17"/>
    </row>
    <row r="43" s="1" customFormat="true" ht="16.5" hidden="false" customHeight="true" outlineLevel="0" collapsed="false">
      <c r="A43" s="2"/>
      <c r="B43" s="2"/>
      <c r="C43" s="51" t="str">
        <f aca="false">'Data Entry'!C43</f>
        <v>Total</v>
      </c>
      <c r="D43" s="93" t="n">
        <f aca="false">'Data Entry'!D43</f>
        <v>0</v>
      </c>
      <c r="E43" s="53"/>
      <c r="F43" s="54"/>
      <c r="G43" s="55"/>
      <c r="H43" s="53"/>
      <c r="I43" s="54"/>
      <c r="J43" s="55"/>
      <c r="K43" s="53"/>
      <c r="L43" s="54"/>
      <c r="M43" s="55"/>
      <c r="N43" s="53"/>
      <c r="O43" s="54"/>
      <c r="P43" s="55"/>
      <c r="Q43" s="53"/>
      <c r="R43" s="54"/>
      <c r="S43" s="55"/>
      <c r="T43" s="53"/>
      <c r="U43" s="54"/>
      <c r="V43" s="55"/>
      <c r="W43" s="53"/>
      <c r="X43" s="54"/>
      <c r="Y43" s="55"/>
      <c r="Z43" s="53"/>
      <c r="AA43" s="54"/>
      <c r="AB43" s="55"/>
      <c r="AC43" s="94" t="str">
        <f aca="false">IF(E43="","",IF(#REF!="","",IF(#REF!,"Y","N")))</f>
        <v/>
      </c>
      <c r="AD43" s="95" t="str">
        <f aca="false">IF(F43="","",IF(#REF!="","",IF(#REF!,"Y","N")))</f>
        <v/>
      </c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="1" customFormat="true" ht="21.75" hidden="false" customHeight="true" outlineLevel="0" collapsed="false">
      <c r="A44" s="2"/>
      <c r="B44" s="2"/>
      <c r="C44" s="3"/>
      <c r="D44" s="59" t="s">
        <v>32</v>
      </c>
      <c r="E44" s="60"/>
      <c r="F44" s="61" t="e">
        <f aca="false">COUNTIF(E13:G42,"&gt;0")/($D$43*2)</f>
        <v>#DIV/0!</v>
      </c>
      <c r="G44" s="62"/>
      <c r="H44" s="63"/>
      <c r="I44" s="61" t="e">
        <f aca="false">COUNTIF(H13:J42,"&gt;0")/($D$43*2)</f>
        <v>#DIV/0!</v>
      </c>
      <c r="J44" s="62"/>
      <c r="K44" s="63"/>
      <c r="L44" s="61" t="e">
        <f aca="false">COUNTIF(K13:M42,"&gt;0")/($D$43*2)</f>
        <v>#DIV/0!</v>
      </c>
      <c r="M44" s="62"/>
      <c r="N44" s="63"/>
      <c r="O44" s="61" t="e">
        <f aca="false">COUNTIF(N13:P42,"&gt;0")/($D$43*2)</f>
        <v>#DIV/0!</v>
      </c>
      <c r="P44" s="62"/>
      <c r="Q44" s="63"/>
      <c r="R44" s="61" t="e">
        <f aca="false">COUNTIF(Q13:S42,"&gt;0")/($D$43*2)</f>
        <v>#DIV/0!</v>
      </c>
      <c r="S44" s="62"/>
      <c r="T44" s="63"/>
      <c r="U44" s="61" t="e">
        <f aca="false">COUNTIF(T13:V42,"&gt;0")/($D$43*2)</f>
        <v>#DIV/0!</v>
      </c>
      <c r="V44" s="62"/>
      <c r="W44" s="63"/>
      <c r="X44" s="61" t="e">
        <f aca="false">COUNTIF(W13:Y42,"&gt;0")/($D$43*2)</f>
        <v>#DIV/0!</v>
      </c>
      <c r="Y44" s="62"/>
      <c r="Z44" s="63"/>
      <c r="AA44" s="61" t="e">
        <f aca="false">COUNTIF(Z13:AB42,"&gt;0")/($D$43*2)</f>
        <v>#DIV/0!</v>
      </c>
      <c r="AB44" s="62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="1" customFormat="true" ht="21.75" hidden="false" customHeight="true" outlineLevel="0" collapsed="false">
      <c r="A45" s="65"/>
      <c r="B45" s="65"/>
      <c r="C45" s="66"/>
      <c r="D45" s="67" t="s">
        <v>33</v>
      </c>
      <c r="E45" s="68"/>
      <c r="F45" s="69" t="n">
        <f aca="false">IF(E11="","Known",COUNTIF(E13:G42,"&gt;0")/($C$42*3))</f>
        <v>0</v>
      </c>
      <c r="G45" s="70"/>
      <c r="H45" s="65"/>
      <c r="I45" s="69" t="n">
        <f aca="false">IF(H11="","Known",COUNTIF(H13:J42,"&gt;0")/($C$42*3))</f>
        <v>0</v>
      </c>
      <c r="J45" s="70"/>
      <c r="K45" s="65"/>
      <c r="L45" s="69" t="n">
        <f aca="false">IF(K11="","Known",COUNTIF(K13:M42,"&gt;0")/($C$42*3))</f>
        <v>0</v>
      </c>
      <c r="M45" s="70"/>
      <c r="N45" s="65"/>
      <c r="O45" s="69" t="n">
        <f aca="false">IF(N11="","Known",COUNTIF(N13:P42,"&gt;0")/($C$42*3))</f>
        <v>0</v>
      </c>
      <c r="P45" s="70"/>
      <c r="Q45" s="65"/>
      <c r="R45" s="69" t="n">
        <f aca="false">IF(Q11="","Known",COUNTIF(Q13:S42,"&gt;0")/($C$42*3))</f>
        <v>0</v>
      </c>
      <c r="S45" s="70"/>
      <c r="T45" s="65"/>
      <c r="U45" s="69" t="n">
        <f aca="false">IF(T11="","Known",COUNTIF(T13:V42,"&gt;0")/($C$42*3))</f>
        <v>0</v>
      </c>
      <c r="V45" s="70"/>
      <c r="W45" s="65"/>
      <c r="X45" s="69" t="n">
        <f aca="false">IF(W11="","Known",COUNTIF(W13:Y42,"&gt;0")/($C$42*3))</f>
        <v>0</v>
      </c>
      <c r="Y45" s="70"/>
      <c r="Z45" s="65"/>
      <c r="AA45" s="69" t="n">
        <f aca="false">IF(Z11="","Known",COUNTIF(Z13:AB42,"&gt;0")/($C$42*3))</f>
        <v>0</v>
      </c>
      <c r="AB45" s="70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</row>
    <row r="46" s="1" customFormat="true" ht="26.25" hidden="false" customHeight="true" outlineLevel="0" collapsed="false">
      <c r="A46" s="2"/>
      <c r="B46" s="2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="1" customFormat="true" ht="21.75" hidden="false" customHeight="true" outlineLevel="0" collapsed="false">
      <c r="A47" s="2"/>
      <c r="B47" s="2"/>
      <c r="C47" s="3"/>
      <c r="D47" s="4"/>
      <c r="E47" s="2"/>
      <c r="F47" s="2"/>
      <c r="G47" s="2"/>
      <c r="H47" s="2"/>
      <c r="I47" s="2"/>
      <c r="J47" s="2"/>
      <c r="K47" s="2"/>
      <c r="L47" s="71" t="s">
        <v>34</v>
      </c>
      <c r="M47" s="97" t="e">
        <f aca="false">COUNTIF(E13:AB42,"&gt;0") / N47</f>
        <v>#DIV/0!</v>
      </c>
      <c r="N47" s="98" t="n">
        <f aca="false">COUNTIF(E13:AB42, "=-1") + COUNTIF(E13:AB42, "=0") + COUNTIF(E13:AB42, "=1")</f>
        <v>0</v>
      </c>
      <c r="O47" s="99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="1" customFormat="true" ht="21.75" hidden="false" customHeight="true" outlineLevel="0" collapsed="false">
      <c r="A48" s="2"/>
      <c r="B48" s="2"/>
      <c r="C48" s="3"/>
      <c r="D48" s="4"/>
      <c r="E48" s="2"/>
      <c r="F48" s="2"/>
      <c r="G48" s="2"/>
      <c r="H48" s="2"/>
      <c r="I48" s="2"/>
      <c r="J48" s="2"/>
      <c r="K48" s="65"/>
      <c r="L48" s="73" t="s">
        <v>35</v>
      </c>
      <c r="M48" s="61" t="str">
        <f aca="false">IF((COUNTA(AC13:AC43)-COUNTBLANK(AD13:AD43))&lt;=0,"",COUNTIF(AD13:AD43,"Y")/(COUNTA(AC13:AC43)-COUNTBLANK(AD13:AD43)))</f>
        <v/>
      </c>
      <c r="N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="1" customFormat="true" ht="7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74"/>
      <c r="J49" s="74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="1" customFormat="true" ht="18" hidden="true" customHeight="true" outlineLevel="0" collapsed="false">
      <c r="A50" s="2"/>
      <c r="B50" s="2"/>
      <c r="C50" s="71" t="s">
        <v>36</v>
      </c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="1" customFormat="true" ht="15.75" hidden="true" customHeight="true" outlineLevel="0" collapsed="false">
      <c r="A51" s="2"/>
      <c r="B51" s="2"/>
      <c r="C51" s="75" t="s">
        <v>37</v>
      </c>
      <c r="D51" s="76" t="s">
        <v>38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="1" customFormat="true" ht="15.75" hidden="true" customHeight="true" outlineLevel="0" collapsed="false">
      <c r="A52" s="2"/>
      <c r="B52" s="2"/>
      <c r="C52" s="77" t="s">
        <v>39</v>
      </c>
      <c r="D52" s="76" t="s">
        <v>40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="1" customFormat="true" ht="15.75" hidden="true" customHeight="true" outlineLevel="0" collapsed="false">
      <c r="A53" s="2"/>
      <c r="B53" s="2"/>
      <c r="C53" s="75" t="s">
        <v>41</v>
      </c>
      <c r="D53" s="76" t="s">
        <v>42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="1" customFormat="true" ht="15.75" hidden="true" customHeight="true" outlineLevel="0" collapsed="false">
      <c r="A54" s="2"/>
      <c r="B54" s="2"/>
      <c r="C54" s="77" t="s">
        <v>43</v>
      </c>
      <c r="D54" s="76" t="s">
        <v>44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="1" customFormat="true" ht="15.75" hidden="true" customHeight="true" outlineLevel="0" collapsed="false">
      <c r="A55" s="2"/>
      <c r="B55" s="2"/>
      <c r="C55" s="77" t="s">
        <v>45</v>
      </c>
      <c r="D55" s="76" t="s">
        <v>46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2.75" hidden="false" customHeight="true" outlineLevel="0" collapsed="false">
      <c r="A56" s="2"/>
      <c r="B56" s="100"/>
      <c r="C56" s="101"/>
      <c r="D56" s="102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2.75" hidden="false" customHeight="true" outlineLevel="0" collapsed="false">
      <c r="A57" s="2"/>
      <c r="B57" s="100"/>
      <c r="C57" s="101"/>
      <c r="D57" s="102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5" hidden="false" customHeight="true" outlineLevel="0" collapsed="false">
      <c r="A58" s="2"/>
      <c r="B58" s="100"/>
      <c r="C58" s="100" t="n">
        <v>72</v>
      </c>
      <c r="D58" s="103" t="s">
        <v>53</v>
      </c>
      <c r="E58" s="100" t="n">
        <f aca="false">$C$58-(SUM(E42:G42)+SUM(E35:G40)+SUM(E31:G33)+SUM(E24:G29)+SUM(E19:G22)+SUM(E15:G17)+SUM(E13:G13))</f>
        <v>72</v>
      </c>
      <c r="F58" s="100"/>
      <c r="G58" s="100"/>
      <c r="H58" s="100" t="n">
        <f aca="false">$C$58-(SUM(H42:J42)+SUM(H35:J40)+SUM(H31:J33)+SUM(H24:J29)+SUM(H19:J22)+SUM(H15:J17)+SUM(H13:J13))</f>
        <v>72</v>
      </c>
      <c r="I58" s="100"/>
      <c r="J58" s="100"/>
      <c r="K58" s="100" t="n">
        <f aca="false">$C$58-(SUM(K42:M42)+SUM(K35:M40)+SUM(K31:M33)+SUM(K24:M29)+SUM(K19:M22)+SUM(K15:M17)+SUM(K13:M13))</f>
        <v>72</v>
      </c>
      <c r="L58" s="100"/>
      <c r="M58" s="100"/>
      <c r="N58" s="100" t="n">
        <f aca="false">$C$58-(SUM(N42:P42)+SUM(N35:P40)+SUM(N31:P33)+SUM(N24:P29)+SUM(N19:P22)+SUM(N15:P17)+SUM(N13:P13))</f>
        <v>72</v>
      </c>
      <c r="O58" s="100"/>
      <c r="P58" s="100"/>
      <c r="Q58" s="100" t="n">
        <f aca="false">$C$58-(SUM(Q42:S42)+SUM(Q35:S40)+SUM(Q31:S33)+SUM(Q24:S29)+SUM(Q19:S22)+SUM(Q15:S17)+SUM(Q13:S13))</f>
        <v>72</v>
      </c>
      <c r="R58" s="100"/>
      <c r="S58" s="100"/>
      <c r="T58" s="100" t="n">
        <f aca="false">$C$58-(SUM(T42:V42)+SUM(T35:V40)+SUM(T31:V33)+SUM(T24:V29)+SUM(T19:V22)+SUM(T15:V17)+SUM(T13:V13))</f>
        <v>72</v>
      </c>
      <c r="U58" s="100"/>
      <c r="V58" s="100"/>
      <c r="W58" s="100" t="n">
        <f aca="false">$C$58-(SUM(W42:Y42)+SUM(W35:Y40)+SUM(W31:Y33)+SUM(W24:Y29)+SUM(W19:Y22)+SUM(W15:Y17)+SUM(W13:Y13))</f>
        <v>72</v>
      </c>
      <c r="X58" s="100"/>
      <c r="Y58" s="100"/>
      <c r="Z58" s="100" t="n">
        <f aca="false">$C$58-(SUM(Z42:AB42)+SUM(Z35:AB40)+SUM(Z31:AB33)+SUM(Z24:AB29)+SUM(Z19:AB22)+SUM(Z15:AB17)+SUM(Z13:AB13))</f>
        <v>72</v>
      </c>
      <c r="AA58" s="100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5" hidden="false" customHeight="true" outlineLevel="0" collapsed="false">
      <c r="A59" s="2"/>
      <c r="B59" s="100"/>
      <c r="C59" s="100" t="n">
        <v>18</v>
      </c>
      <c r="D59" s="103" t="s">
        <v>54</v>
      </c>
      <c r="E59" s="100" t="n">
        <f aca="false">$C$59-(SUM(E41:G41)+SUM(E34:G34)+SUM(E30:G30)+SUM(E23:G23)+SUM(E18:G18)+SUM(E14:G14))</f>
        <v>18</v>
      </c>
      <c r="F59" s="100"/>
      <c r="G59" s="100"/>
      <c r="H59" s="100" t="n">
        <f aca="false">$C$59-(SUM(H41:J41)+SUM(H34:J34)+SUM(H30:J30)+SUM(H23:J23)+SUM(H18:J18)+SUM(H14:J14))</f>
        <v>18</v>
      </c>
      <c r="I59" s="100"/>
      <c r="J59" s="100"/>
      <c r="K59" s="100" t="n">
        <f aca="false">$C$59-(SUM(K41:M41)+SUM(K34:M34)+SUM(K30:M30)+SUM(K23:M23)+SUM(K18:M18)+SUM(K14:M14))</f>
        <v>18</v>
      </c>
      <c r="L59" s="100"/>
      <c r="M59" s="100"/>
      <c r="N59" s="100" t="n">
        <f aca="false">$C$59-(SUM(N41:P41)+SUM(N34:P34)+SUM(N30:P30)+SUM(N23:P23)+SUM(N18:P18)+SUM(N14:P14))</f>
        <v>18</v>
      </c>
      <c r="O59" s="100"/>
      <c r="P59" s="100"/>
      <c r="Q59" s="100" t="n">
        <f aca="false">$C$59-(SUM(Q41:S41)+SUM(Q34:S34)+SUM(Q30:S30)+SUM(Q23:S23)+SUM(Q18:S18)+SUM(Q14:S14))</f>
        <v>18</v>
      </c>
      <c r="R59" s="100"/>
      <c r="S59" s="100"/>
      <c r="T59" s="100" t="n">
        <f aca="false">$C$59-(SUM(T41:V41)+SUM(T34:V34)+SUM(T30:V30)+SUM(T23:V23)+SUM(T18:V18)+SUM(T14:V14))</f>
        <v>18</v>
      </c>
      <c r="U59" s="100"/>
      <c r="V59" s="100"/>
      <c r="W59" s="100" t="n">
        <f aca="false">$C$59-(SUM(W41:Y41)+SUM(W34:Y34)+SUM(W30:Y30)+SUM(W23:Y23)+SUM(W18:Y18)+SUM(W14:Y14))</f>
        <v>18</v>
      </c>
      <c r="X59" s="100"/>
      <c r="Y59" s="100"/>
      <c r="Z59" s="100" t="n">
        <f aca="false">$C$59-(SUM(Z41:AB41)+SUM(Z34:AB34)+SUM(Z30:AB30)+SUM(Z23:AB23)+SUM(Z18:AB18)+SUM(Z14:AB14))</f>
        <v>18</v>
      </c>
      <c r="AA59" s="100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2.75" hidden="false" customHeight="true" outlineLevel="0" collapsed="false">
      <c r="A60" s="2"/>
      <c r="B60" s="100"/>
      <c r="C60" s="101"/>
      <c r="D60" s="102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customFormat="false" ht="12.75" hidden="false" customHeight="true" outlineLevel="0" collapsed="false">
      <c r="A61" s="2"/>
      <c r="B61" s="2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2.75" hidden="false" customHeight="true" outlineLevel="0" collapsed="false">
      <c r="A62" s="2"/>
      <c r="B62" s="2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2.75" hidden="false" customHeight="true" outlineLevel="0" collapsed="false">
      <c r="A63" s="2"/>
      <c r="B63" s="2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2.75" hidden="false" customHeight="true" outlineLevel="0" collapsed="false">
      <c r="A64" s="2"/>
      <c r="B64" s="2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2.75" hidden="false" customHeight="true" outlineLevel="0" collapsed="false">
      <c r="A65" s="2"/>
      <c r="B65" s="2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2.75" hidden="false" customHeight="true" outlineLevel="0" collapsed="false">
      <c r="A66" s="2"/>
      <c r="B66" s="2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2.75" hidden="false" customHeight="true" outlineLevel="0" collapsed="false">
      <c r="A67" s="2"/>
      <c r="B67" s="2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2.75" hidden="false" customHeight="true" outlineLevel="0" collapsed="false">
      <c r="A68" s="2"/>
      <c r="B68" s="2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2.75" hidden="false" customHeight="true" outlineLevel="0" collapsed="false">
      <c r="A69" s="2"/>
      <c r="B69" s="2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2.75" hidden="false" customHeight="true" outlineLevel="0" collapsed="false">
      <c r="A70" s="2"/>
      <c r="B70" s="2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2.75" hidden="false" customHeight="true" outlineLevel="0" collapsed="false">
      <c r="A71" s="2"/>
      <c r="B71" s="2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2.75" hidden="false" customHeight="true" outlineLevel="0" collapsed="false">
      <c r="A72" s="2"/>
      <c r="B72" s="2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2.75" hidden="false" customHeight="true" outlineLevel="0" collapsed="false">
      <c r="A73" s="2"/>
      <c r="B73" s="2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2.75" hidden="false" customHeight="true" outlineLevel="0" collapsed="false">
      <c r="A74" s="2"/>
      <c r="B74" s="2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2.75" hidden="false" customHeight="true" outlineLevel="0" collapsed="false">
      <c r="A75" s="2"/>
      <c r="B75" s="2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2.75" hidden="false" customHeight="true" outlineLevel="0" collapsed="false">
      <c r="A76" s="2"/>
      <c r="B76" s="2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2.75" hidden="false" customHeight="true" outlineLevel="0" collapsed="false">
      <c r="A77" s="2"/>
      <c r="B77" s="2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2.75" hidden="false" customHeight="true" outlineLevel="0" collapsed="false">
      <c r="A78" s="2"/>
      <c r="B78" s="2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2.75" hidden="false" customHeight="true" outlineLevel="0" collapsed="false">
      <c r="A79" s="2"/>
      <c r="B79" s="2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2.75" hidden="false" customHeight="true" outlineLevel="0" collapsed="false">
      <c r="A80" s="2"/>
      <c r="B80" s="2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2.75" hidden="false" customHeight="true" outlineLevel="0" collapsed="false">
      <c r="A81" s="2"/>
      <c r="B81" s="2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2.75" hidden="false" customHeight="true" outlineLevel="0" collapsed="false">
      <c r="A82" s="2"/>
      <c r="B82" s="2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2.75" hidden="false" customHeight="true" outlineLevel="0" collapsed="false">
      <c r="A83" s="2"/>
      <c r="B83" s="2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2.75" hidden="false" customHeight="true" outlineLevel="0" collapsed="false">
      <c r="A84" s="2"/>
      <c r="B84" s="2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2.75" hidden="false" customHeight="true" outlineLevel="0" collapsed="false">
      <c r="A85" s="2"/>
      <c r="B85" s="2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2.75" hidden="false" customHeight="true" outlineLevel="0" collapsed="false">
      <c r="A86" s="2"/>
      <c r="B86" s="2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2.75" hidden="false" customHeight="true" outlineLevel="0" collapsed="false">
      <c r="A87" s="2"/>
      <c r="B87" s="2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2.75" hidden="false" customHeight="true" outlineLevel="0" collapsed="false">
      <c r="A88" s="2"/>
      <c r="B88" s="2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2.75" hidden="false" customHeight="true" outlineLevel="0" collapsed="false">
      <c r="A89" s="2"/>
      <c r="B89" s="2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2.75" hidden="false" customHeight="true" outlineLevel="0" collapsed="false">
      <c r="A90" s="2"/>
      <c r="B90" s="2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2.75" hidden="false" customHeight="true" outlineLevel="0" collapsed="false">
      <c r="A91" s="2"/>
      <c r="B91" s="2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2.75" hidden="false" customHeight="true" outlineLevel="0" collapsed="false">
      <c r="A92" s="2"/>
      <c r="B92" s="2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2.75" hidden="false" customHeight="true" outlineLevel="0" collapsed="false">
      <c r="A93" s="2"/>
      <c r="B93" s="2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customFormat="false" ht="12.75" hidden="false" customHeight="true" outlineLevel="0" collapsed="false">
      <c r="A94" s="2"/>
      <c r="B94" s="2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2.75" hidden="false" customHeight="true" outlineLevel="0" collapsed="false">
      <c r="A95" s="2"/>
      <c r="B95" s="2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2.75" hidden="false" customHeight="true" outlineLevel="0" collapsed="false">
      <c r="A96" s="2"/>
      <c r="B96" s="2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2.75" hidden="false" customHeight="true" outlineLevel="0" collapsed="false">
      <c r="A97" s="2"/>
      <c r="B97" s="2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2.75" hidden="false" customHeight="true" outlineLevel="0" collapsed="false">
      <c r="A98" s="2"/>
      <c r="B98" s="2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2.75" hidden="false" customHeight="true" outlineLevel="0" collapsed="false">
      <c r="A99" s="2"/>
      <c r="B99" s="2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2.75" hidden="false" customHeight="true" outlineLevel="0" collapsed="false">
      <c r="A100" s="2"/>
      <c r="B100" s="2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2.75" hidden="false" customHeight="true" outlineLevel="0" collapsed="false">
      <c r="A101" s="2"/>
      <c r="B101" s="2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2.75" hidden="false" customHeight="true" outlineLevel="0" collapsed="false">
      <c r="A102" s="2"/>
      <c r="B102" s="2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2.75" hidden="false" customHeight="true" outlineLevel="0" collapsed="false">
      <c r="A103" s="2"/>
      <c r="B103" s="2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2.75" hidden="false" customHeight="true" outlineLevel="0" collapsed="false">
      <c r="A104" s="2"/>
      <c r="B104" s="2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2.75" hidden="false" customHeight="true" outlineLevel="0" collapsed="false">
      <c r="A105" s="2"/>
      <c r="B105" s="2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2.75" hidden="false" customHeight="true" outlineLevel="0" collapsed="false">
      <c r="A106" s="2"/>
      <c r="B106" s="2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2.75" hidden="false" customHeight="true" outlineLevel="0" collapsed="false">
      <c r="A107" s="2"/>
      <c r="B107" s="2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2.75" hidden="false" customHeight="true" outlineLevel="0" collapsed="false">
      <c r="A108" s="2"/>
      <c r="B108" s="2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2.75" hidden="false" customHeight="true" outlineLevel="0" collapsed="false">
      <c r="A109" s="2"/>
      <c r="B109" s="2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2.75" hidden="false" customHeight="true" outlineLevel="0" collapsed="false">
      <c r="A110" s="2"/>
      <c r="B110" s="2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2.75" hidden="false" customHeight="true" outlineLevel="0" collapsed="false">
      <c r="A111" s="2"/>
      <c r="B111" s="2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2.75" hidden="false" customHeight="true" outlineLevel="0" collapsed="false">
      <c r="A112" s="2"/>
      <c r="B112" s="2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2.75" hidden="false" customHeight="true" outlineLevel="0" collapsed="false">
      <c r="A113" s="2"/>
      <c r="B113" s="2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2.75" hidden="false" customHeight="true" outlineLevel="0" collapsed="false">
      <c r="A114" s="2"/>
      <c r="B114" s="2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2.75" hidden="false" customHeight="true" outlineLevel="0" collapsed="false">
      <c r="A115" s="2"/>
      <c r="B115" s="2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2.75" hidden="false" customHeight="true" outlineLevel="0" collapsed="false">
      <c r="A116" s="2"/>
      <c r="B116" s="2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2.75" hidden="false" customHeight="true" outlineLevel="0" collapsed="false">
      <c r="A117" s="2"/>
      <c r="B117" s="2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2.75" hidden="false" customHeight="true" outlineLevel="0" collapsed="false">
      <c r="A118" s="2"/>
      <c r="B118" s="2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2.75" hidden="false" customHeight="true" outlineLevel="0" collapsed="false">
      <c r="A119" s="2"/>
      <c r="B119" s="2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2.75" hidden="false" customHeight="true" outlineLevel="0" collapsed="false">
      <c r="A120" s="2"/>
      <c r="B120" s="2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2.75" hidden="false" customHeight="true" outlineLevel="0" collapsed="false">
      <c r="A121" s="2"/>
      <c r="B121" s="2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2.75" hidden="false" customHeight="true" outlineLevel="0" collapsed="false">
      <c r="A122" s="2"/>
      <c r="B122" s="2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2.75" hidden="false" customHeight="true" outlineLevel="0" collapsed="false">
      <c r="A123" s="2"/>
      <c r="B123" s="2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2.75" hidden="false" customHeight="true" outlineLevel="0" collapsed="false">
      <c r="A124" s="2"/>
      <c r="B124" s="2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2.75" hidden="false" customHeight="true" outlineLevel="0" collapsed="false">
      <c r="A125" s="2"/>
      <c r="B125" s="2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2.75" hidden="false" customHeight="true" outlineLevel="0" collapsed="false">
      <c r="A126" s="2"/>
      <c r="B126" s="2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2.75" hidden="false" customHeight="true" outlineLevel="0" collapsed="false">
      <c r="A127" s="2"/>
      <c r="B127" s="2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2.75" hidden="false" customHeight="true" outlineLevel="0" collapsed="false">
      <c r="A128" s="2"/>
      <c r="B128" s="2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2.75" hidden="false" customHeight="true" outlineLevel="0" collapsed="false">
      <c r="A129" s="2"/>
      <c r="B129" s="2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2.75" hidden="false" customHeight="true" outlineLevel="0" collapsed="false">
      <c r="A130" s="2"/>
      <c r="B130" s="2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2.75" hidden="false" customHeight="true" outlineLevel="0" collapsed="false">
      <c r="A131" s="2"/>
      <c r="B131" s="2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2.75" hidden="false" customHeight="true" outlineLevel="0" collapsed="false">
      <c r="A132" s="2"/>
      <c r="B132" s="2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customFormat="false" ht="12.75" hidden="false" customHeight="true" outlineLevel="0" collapsed="false">
      <c r="A133" s="2"/>
      <c r="B133" s="2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2.75" hidden="false" customHeight="true" outlineLevel="0" collapsed="false">
      <c r="A134" s="2"/>
      <c r="B134" s="2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2.75" hidden="false" customHeight="true" outlineLevel="0" collapsed="false">
      <c r="A135" s="2"/>
      <c r="B135" s="2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2.75" hidden="false" customHeight="true" outlineLevel="0" collapsed="false">
      <c r="A136" s="2"/>
      <c r="B136" s="2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2.75" hidden="false" customHeight="true" outlineLevel="0" collapsed="false">
      <c r="A137" s="2"/>
      <c r="B137" s="2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2.75" hidden="false" customHeight="true" outlineLevel="0" collapsed="false">
      <c r="A138" s="2"/>
      <c r="B138" s="2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customFormat="false" ht="12.75" hidden="false" customHeight="true" outlineLevel="0" collapsed="false">
      <c r="A139" s="2"/>
      <c r="B139" s="2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2.75" hidden="false" customHeight="true" outlineLevel="0" collapsed="false">
      <c r="A140" s="2"/>
      <c r="B140" s="2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2.75" hidden="false" customHeight="true" outlineLevel="0" collapsed="false">
      <c r="A141" s="2"/>
      <c r="B141" s="2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2.75" hidden="false" customHeight="true" outlineLevel="0" collapsed="false">
      <c r="A142" s="2"/>
      <c r="B142" s="2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2.75" hidden="false" customHeight="true" outlineLevel="0" collapsed="false">
      <c r="A143" s="2"/>
      <c r="B143" s="2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2.75" hidden="false" customHeight="true" outlineLevel="0" collapsed="false">
      <c r="A144" s="2"/>
      <c r="B144" s="2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customFormat="false" ht="12.75" hidden="false" customHeight="true" outlineLevel="0" collapsed="false">
      <c r="A145" s="2"/>
      <c r="B145" s="2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2.75" hidden="false" customHeight="true" outlineLevel="0" collapsed="false">
      <c r="A146" s="2"/>
      <c r="B146" s="2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2.75" hidden="false" customHeight="true" outlineLevel="0" collapsed="false">
      <c r="A147" s="2"/>
      <c r="B147" s="2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12.75" hidden="false" customHeight="true" outlineLevel="0" collapsed="false">
      <c r="A148" s="2"/>
      <c r="B148" s="2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12.75" hidden="false" customHeight="true" outlineLevel="0" collapsed="false">
      <c r="A149" s="2"/>
      <c r="B149" s="2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12.75" hidden="false" customHeight="true" outlineLevel="0" collapsed="false">
      <c r="A150" s="2"/>
      <c r="B150" s="2"/>
      <c r="C150" s="3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customFormat="false" ht="12.75" hidden="false" customHeight="true" outlineLevel="0" collapsed="false">
      <c r="A151" s="2"/>
      <c r="B151" s="2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12.75" hidden="false" customHeight="true" outlineLevel="0" collapsed="false">
      <c r="A152" s="2"/>
      <c r="B152" s="2"/>
      <c r="C152" s="3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12.75" hidden="false" customHeight="true" outlineLevel="0" collapsed="false">
      <c r="A153" s="2"/>
      <c r="B153" s="2"/>
      <c r="C153" s="3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12.75" hidden="false" customHeight="true" outlineLevel="0" collapsed="false">
      <c r="A154" s="2"/>
      <c r="B154" s="2"/>
      <c r="C154" s="3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12.75" hidden="false" customHeight="true" outlineLevel="0" collapsed="false">
      <c r="A155" s="2"/>
      <c r="B155" s="2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12.75" hidden="false" customHeight="true" outlineLevel="0" collapsed="false">
      <c r="A156" s="2"/>
      <c r="B156" s="2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customFormat="false" ht="12.75" hidden="false" customHeight="true" outlineLevel="0" collapsed="false">
      <c r="A157" s="2"/>
      <c r="B157" s="2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12.75" hidden="false" customHeight="true" outlineLevel="0" collapsed="false">
      <c r="A158" s="2"/>
      <c r="B158" s="2"/>
      <c r="C158" s="3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12.75" hidden="false" customHeight="true" outlineLevel="0" collapsed="false">
      <c r="A159" s="2"/>
      <c r="B159" s="2"/>
      <c r="C159" s="3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12.75" hidden="false" customHeight="true" outlineLevel="0" collapsed="false">
      <c r="A160" s="2"/>
      <c r="B160" s="2"/>
      <c r="C160" s="3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12.75" hidden="false" customHeight="true" outlineLevel="0" collapsed="false">
      <c r="A161" s="2"/>
      <c r="B161" s="2"/>
      <c r="C161" s="3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12.75" hidden="false" customHeight="true" outlineLevel="0" collapsed="false">
      <c r="A162" s="2"/>
      <c r="B162" s="2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customFormat="false" ht="12.75" hidden="false" customHeight="true" outlineLevel="0" collapsed="false">
      <c r="A163" s="2"/>
      <c r="B163" s="2"/>
      <c r="C163" s="3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12.75" hidden="false" customHeight="true" outlineLevel="0" collapsed="false">
      <c r="A164" s="2"/>
      <c r="B164" s="2"/>
      <c r="C164" s="3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12.75" hidden="false" customHeight="true" outlineLevel="0" collapsed="false">
      <c r="A165" s="2"/>
      <c r="B165" s="2"/>
      <c r="C165" s="3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12.75" hidden="false" customHeight="true" outlineLevel="0" collapsed="false">
      <c r="A166" s="2"/>
      <c r="B166" s="2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12.75" hidden="false" customHeight="true" outlineLevel="0" collapsed="false">
      <c r="A167" s="2"/>
      <c r="B167" s="2"/>
      <c r="C167" s="3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12.75" hidden="false" customHeight="true" outlineLevel="0" collapsed="false">
      <c r="A168" s="2"/>
      <c r="B168" s="2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customFormat="false" ht="12.75" hidden="false" customHeight="true" outlineLevel="0" collapsed="false">
      <c r="A169" s="2"/>
      <c r="B169" s="2"/>
      <c r="C169" s="3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12.75" hidden="false" customHeight="true" outlineLevel="0" collapsed="false">
      <c r="A170" s="2"/>
      <c r="B170" s="2"/>
      <c r="C170" s="3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12.75" hidden="false" customHeight="true" outlineLevel="0" collapsed="false">
      <c r="A171" s="2"/>
      <c r="B171" s="2"/>
      <c r="C171" s="3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12.75" hidden="false" customHeight="true" outlineLevel="0" collapsed="false">
      <c r="A172" s="2"/>
      <c r="B172" s="2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12.75" hidden="false" customHeight="true" outlineLevel="0" collapsed="false">
      <c r="A173" s="2"/>
      <c r="B173" s="2"/>
      <c r="C173" s="3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12.75" hidden="false" customHeight="true" outlineLevel="0" collapsed="false">
      <c r="A174" s="2"/>
      <c r="B174" s="2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12.75" hidden="false" customHeight="true" outlineLevel="0" collapsed="false">
      <c r="A175" s="2"/>
      <c r="B175" s="2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12.75" hidden="false" customHeight="true" outlineLevel="0" collapsed="false">
      <c r="A176" s="2"/>
      <c r="B176" s="2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customFormat="false" ht="12.75" hidden="false" customHeight="true" outlineLevel="0" collapsed="false">
      <c r="A177" s="2"/>
      <c r="B177" s="2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customFormat="false" ht="12.75" hidden="false" customHeight="true" outlineLevel="0" collapsed="false">
      <c r="A178" s="2"/>
      <c r="B178" s="2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customFormat="false" ht="12.75" hidden="false" customHeight="true" outlineLevel="0" collapsed="false">
      <c r="A179" s="2"/>
      <c r="B179" s="2"/>
      <c r="C179" s="3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customFormat="false" ht="12.75" hidden="false" customHeight="true" outlineLevel="0" collapsed="false">
      <c r="A180" s="2"/>
      <c r="B180" s="2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customFormat="false" ht="12.75" hidden="false" customHeight="true" outlineLevel="0" collapsed="false">
      <c r="A181" s="2"/>
      <c r="B181" s="2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customFormat="false" ht="12.75" hidden="false" customHeight="true" outlineLevel="0" collapsed="false">
      <c r="A182" s="2"/>
      <c r="B182" s="2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customFormat="false" ht="12.75" hidden="false" customHeight="true" outlineLevel="0" collapsed="false">
      <c r="A183" s="2"/>
      <c r="B183" s="2"/>
      <c r="C183" s="3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customFormat="false" ht="12.75" hidden="false" customHeight="true" outlineLevel="0" collapsed="false">
      <c r="A184" s="2"/>
      <c r="B184" s="2"/>
      <c r="C184" s="3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customFormat="false" ht="12.75" hidden="false" customHeight="true" outlineLevel="0" collapsed="false">
      <c r="A185" s="2"/>
      <c r="B185" s="2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customFormat="false" ht="12.75" hidden="false" customHeight="true" outlineLevel="0" collapsed="false">
      <c r="A186" s="2"/>
      <c r="B186" s="2"/>
      <c r="C186" s="3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customFormat="false" ht="12.75" hidden="false" customHeight="true" outlineLevel="0" collapsed="false">
      <c r="A187" s="2"/>
      <c r="B187" s="2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customFormat="false" ht="12.75" hidden="false" customHeight="true" outlineLevel="0" collapsed="false">
      <c r="A188" s="2"/>
      <c r="B188" s="2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customFormat="false" ht="12.75" hidden="false" customHeight="true" outlineLevel="0" collapsed="false">
      <c r="A189" s="2"/>
      <c r="B189" s="2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customFormat="false" ht="12.75" hidden="false" customHeight="true" outlineLevel="0" collapsed="false">
      <c r="A190" s="2"/>
      <c r="B190" s="2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customFormat="false" ht="12.75" hidden="false" customHeight="true" outlineLevel="0" collapsed="false">
      <c r="A191" s="2"/>
      <c r="B191" s="2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customFormat="false" ht="12.75" hidden="false" customHeight="true" outlineLevel="0" collapsed="false">
      <c r="A192" s="2"/>
      <c r="B192" s="2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customFormat="false" ht="12.75" hidden="false" customHeight="true" outlineLevel="0" collapsed="false">
      <c r="A193" s="2"/>
      <c r="B193" s="2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customFormat="false" ht="12.75" hidden="false" customHeight="true" outlineLevel="0" collapsed="false">
      <c r="A194" s="2"/>
      <c r="B194" s="2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customFormat="false" ht="12.75" hidden="false" customHeight="true" outlineLevel="0" collapsed="false">
      <c r="A195" s="2"/>
      <c r="B195" s="2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customFormat="false" ht="12.75" hidden="false" customHeight="true" outlineLevel="0" collapsed="false">
      <c r="A196" s="2"/>
      <c r="B196" s="2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customFormat="false" ht="12.75" hidden="false" customHeight="true" outlineLevel="0" collapsed="false">
      <c r="A197" s="2"/>
      <c r="B197" s="2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customFormat="false" ht="12.75" hidden="false" customHeight="true" outlineLevel="0" collapsed="false">
      <c r="A198" s="2"/>
      <c r="B198" s="2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customFormat="false" ht="12.75" hidden="false" customHeight="true" outlineLevel="0" collapsed="false">
      <c r="A199" s="2"/>
      <c r="B199" s="2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customFormat="false" ht="12.75" hidden="false" customHeight="true" outlineLevel="0" collapsed="false">
      <c r="A200" s="2"/>
      <c r="B200" s="2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customFormat="false" ht="12.75" hidden="false" customHeight="true" outlineLevel="0" collapsed="false">
      <c r="A201" s="2"/>
      <c r="B201" s="2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customFormat="false" ht="12.75" hidden="false" customHeight="true" outlineLevel="0" collapsed="false">
      <c r="A202" s="2"/>
      <c r="B202" s="2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customFormat="false" ht="12.75" hidden="false" customHeight="true" outlineLevel="0" collapsed="false">
      <c r="A203" s="2"/>
      <c r="B203" s="2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customFormat="false" ht="12.75" hidden="false" customHeight="true" outlineLevel="0" collapsed="false">
      <c r="A204" s="2"/>
      <c r="B204" s="2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customFormat="false" ht="12.75" hidden="false" customHeight="true" outlineLevel="0" collapsed="false">
      <c r="A205" s="2"/>
      <c r="B205" s="2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customFormat="false" ht="12.75" hidden="false" customHeight="true" outlineLevel="0" collapsed="false">
      <c r="A206" s="2"/>
      <c r="B206" s="2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customFormat="false" ht="12.75" hidden="false" customHeight="true" outlineLevel="0" collapsed="false">
      <c r="A207" s="2"/>
      <c r="B207" s="2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customFormat="false" ht="12.75" hidden="false" customHeight="true" outlineLevel="0" collapsed="false">
      <c r="A208" s="2"/>
      <c r="B208" s="2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customFormat="false" ht="12.75" hidden="false" customHeight="true" outlineLevel="0" collapsed="false">
      <c r="A209" s="2"/>
      <c r="B209" s="2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Format="false" ht="12.75" hidden="false" customHeight="true" outlineLevel="0" collapsed="false">
      <c r="A210" s="2"/>
      <c r="B210" s="2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2.75" hidden="false" customHeight="true" outlineLevel="0" collapsed="false">
      <c r="A211" s="2"/>
      <c r="B211" s="2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customFormat="false" ht="12.75" hidden="false" customHeight="true" outlineLevel="0" collapsed="false">
      <c r="A212" s="2"/>
      <c r="B212" s="2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customFormat="false" ht="12.75" hidden="false" customHeight="true" outlineLevel="0" collapsed="false">
      <c r="A213" s="2"/>
      <c r="B213" s="2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customFormat="false" ht="12.75" hidden="false" customHeight="true" outlineLevel="0" collapsed="false">
      <c r="A214" s="2"/>
      <c r="B214" s="2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customFormat="false" ht="12.75" hidden="false" customHeight="true" outlineLevel="0" collapsed="false">
      <c r="A215" s="2"/>
      <c r="B215" s="2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customFormat="false" ht="12.75" hidden="false" customHeight="true" outlineLevel="0" collapsed="false">
      <c r="A216" s="2"/>
      <c r="B216" s="2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customFormat="false" ht="12.75" hidden="false" customHeight="true" outlineLevel="0" collapsed="false">
      <c r="A217" s="2"/>
      <c r="B217" s="2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customFormat="false" ht="12.75" hidden="false" customHeight="true" outlineLevel="0" collapsed="false">
      <c r="A218" s="2"/>
      <c r="B218" s="2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customFormat="false" ht="12.75" hidden="false" customHeight="true" outlineLevel="0" collapsed="false">
      <c r="A219" s="2"/>
      <c r="B219" s="2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customFormat="false" ht="12.75" hidden="false" customHeight="true" outlineLevel="0" collapsed="false">
      <c r="A220" s="2"/>
      <c r="B220" s="2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customFormat="false" ht="12.75" hidden="false" customHeight="true" outlineLevel="0" collapsed="false">
      <c r="A221" s="2"/>
      <c r="B221" s="2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customFormat="false" ht="12.75" hidden="false" customHeight="true" outlineLevel="0" collapsed="false">
      <c r="A222" s="2"/>
      <c r="B222" s="2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customFormat="false" ht="12.75" hidden="false" customHeight="true" outlineLevel="0" collapsed="false">
      <c r="A223" s="2"/>
      <c r="B223" s="2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customFormat="false" ht="12.75" hidden="false" customHeight="true" outlineLevel="0" collapsed="false">
      <c r="A224" s="2"/>
      <c r="B224" s="2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customFormat="false" ht="12.75" hidden="false" customHeight="true" outlineLevel="0" collapsed="false">
      <c r="A225" s="2"/>
      <c r="B225" s="2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customFormat="false" ht="12.75" hidden="false" customHeight="true" outlineLevel="0" collapsed="false">
      <c r="A226" s="2"/>
      <c r="B226" s="2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customFormat="false" ht="12.75" hidden="false" customHeight="true" outlineLevel="0" collapsed="false">
      <c r="A227" s="2"/>
      <c r="B227" s="2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customFormat="false" ht="12.75" hidden="false" customHeight="true" outlineLevel="0" collapsed="false">
      <c r="A228" s="2"/>
      <c r="B228" s="2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customFormat="false" ht="12.75" hidden="false" customHeight="true" outlineLevel="0" collapsed="false">
      <c r="A229" s="2"/>
      <c r="B229" s="2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customFormat="false" ht="12.75" hidden="false" customHeight="true" outlineLevel="0" collapsed="false">
      <c r="A230" s="2"/>
      <c r="B230" s="2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customFormat="false" ht="12.75" hidden="false" customHeight="true" outlineLevel="0" collapsed="false">
      <c r="A231" s="2"/>
      <c r="B231" s="2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customFormat="false" ht="12.75" hidden="false" customHeight="true" outlineLevel="0" collapsed="false">
      <c r="A232" s="2"/>
      <c r="B232" s="2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customFormat="false" ht="12.75" hidden="false" customHeight="true" outlineLevel="0" collapsed="false">
      <c r="A233" s="2"/>
      <c r="B233" s="2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customFormat="false" ht="12.75" hidden="false" customHeight="true" outlineLevel="0" collapsed="false">
      <c r="A234" s="2"/>
      <c r="B234" s="2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customFormat="false" ht="12.75" hidden="false" customHeight="true" outlineLevel="0" collapsed="false">
      <c r="A235" s="2"/>
      <c r="B235" s="2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customFormat="false" ht="12.75" hidden="false" customHeight="true" outlineLevel="0" collapsed="false">
      <c r="A236" s="2"/>
      <c r="B236" s="2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customFormat="false" ht="12.75" hidden="false" customHeight="true" outlineLevel="0" collapsed="false">
      <c r="A237" s="2"/>
      <c r="B237" s="2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customFormat="false" ht="12.75" hidden="false" customHeight="true" outlineLevel="0" collapsed="false">
      <c r="A238" s="2"/>
      <c r="B238" s="2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customFormat="false" ht="12.75" hidden="false" customHeight="true" outlineLevel="0" collapsed="false">
      <c r="A239" s="2"/>
      <c r="B239" s="2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customFormat="false" ht="12.75" hidden="false" customHeight="true" outlineLevel="0" collapsed="false">
      <c r="A240" s="2"/>
      <c r="B240" s="2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customFormat="false" ht="12.75" hidden="false" customHeight="true" outlineLevel="0" collapsed="false">
      <c r="A241" s="2"/>
      <c r="B241" s="2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customFormat="false" ht="12.75" hidden="false" customHeight="true" outlineLevel="0" collapsed="false">
      <c r="A242" s="2"/>
      <c r="B242" s="2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customFormat="false" ht="12.75" hidden="false" customHeight="true" outlineLevel="0" collapsed="false">
      <c r="A243" s="2"/>
      <c r="B243" s="2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customFormat="false" ht="12.75" hidden="false" customHeight="true" outlineLevel="0" collapsed="false">
      <c r="A244" s="2"/>
      <c r="B244" s="2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customFormat="false" ht="12.75" hidden="false" customHeight="true" outlineLevel="0" collapsed="false">
      <c r="A245" s="2"/>
      <c r="B245" s="2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customFormat="false" ht="12.75" hidden="false" customHeight="true" outlineLevel="0" collapsed="false">
      <c r="A246" s="2"/>
      <c r="B246" s="2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customFormat="false" ht="12.75" hidden="false" customHeight="true" outlineLevel="0" collapsed="false">
      <c r="A247" s="2"/>
      <c r="B247" s="2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customFormat="false" ht="12.75" hidden="false" customHeight="true" outlineLevel="0" collapsed="false">
      <c r="A248" s="2"/>
      <c r="B248" s="2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customFormat="false" ht="12.75" hidden="false" customHeight="true" outlineLevel="0" collapsed="false">
      <c r="A249" s="2"/>
      <c r="B249" s="2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customFormat="false" ht="12.75" hidden="false" customHeight="true" outlineLevel="0" collapsed="false">
      <c r="A250" s="2"/>
      <c r="B250" s="2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customFormat="false" ht="12.75" hidden="false" customHeight="true" outlineLevel="0" collapsed="false">
      <c r="A251" s="2"/>
      <c r="B251" s="2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customFormat="false" ht="12.75" hidden="false" customHeight="true" outlineLevel="0" collapsed="false">
      <c r="A252" s="2"/>
      <c r="B252" s="2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customFormat="false" ht="12.75" hidden="false" customHeight="true" outlineLevel="0" collapsed="false">
      <c r="A253" s="2"/>
      <c r="B253" s="2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customFormat="false" ht="12.75" hidden="false" customHeight="true" outlineLevel="0" collapsed="false">
      <c r="A254" s="2"/>
      <c r="B254" s="2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customFormat="false" ht="12.75" hidden="false" customHeight="true" outlineLevel="0" collapsed="false">
      <c r="A255" s="2"/>
      <c r="B255" s="2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</sheetData>
  <mergeCells count="16">
    <mergeCell ref="C4:AD4"/>
    <mergeCell ref="I5:K5"/>
    <mergeCell ref="I6:K6"/>
    <mergeCell ref="I7:K7"/>
    <mergeCell ref="I8:K8"/>
    <mergeCell ref="AE8:AE10"/>
    <mergeCell ref="I9:K9"/>
    <mergeCell ref="C11:D11"/>
    <mergeCell ref="E11:G11"/>
    <mergeCell ref="H11:J11"/>
    <mergeCell ref="K11:M11"/>
    <mergeCell ref="N11:P11"/>
    <mergeCell ref="Q11:S11"/>
    <mergeCell ref="T11:V11"/>
    <mergeCell ref="W11:Y11"/>
    <mergeCell ref="Z11:AB11"/>
  </mergeCells>
  <conditionalFormatting sqref="E13:AB42">
    <cfRule type="cellIs" priority="2" operator="equal" aboveAverage="0" equalAverage="0" bottom="0" percent="0" rank="0" text="" dxfId="2">
      <formula>"GOOD"</formula>
    </cfRule>
    <cfRule type="cellIs" priority="3" operator="equal" aboveAverage="0" equalAverage="0" bottom="0" percent="0" rank="0" text="" dxfId="3">
      <formula>"NO GOOD"</formula>
    </cfRule>
  </conditionalFormatting>
  <dataValidations count="2">
    <dataValidation allowBlank="true" errorStyle="stop" operator="between" prompt=" - " showDropDown="false" showErrorMessage="true" showInputMessage="true" sqref="E43:AB43" type="list">
      <formula1>$D$7:$D$8</formula1>
      <formula2>0</formula2>
    </dataValidation>
    <dataValidation allowBlank="true" errorStyle="stop" operator="between" prompt=" - " showDropDown="false" showErrorMessage="true" showInputMessage="true" sqref="D43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&amp;L&amp;10&amp;K737373Dell Customer Communication - Confidential&amp;1#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989"/>
  <sheetViews>
    <sheetView showFormulas="false" showGridLines="false" showRowColHeaders="true" showZeros="true" rightToLeft="false" tabSelected="false" showOutlineSymbols="true" defaultGridColor="true" view="normal" topLeftCell="A8" colorId="64" zoomScale="110" zoomScaleNormal="110" zoomScalePageLayoutView="100" workbookViewId="0">
      <selection pane="topLeft" activeCell="G5" activeCellId="0" sqref="G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19.14"/>
    <col collapsed="false" customWidth="true" hidden="false" outlineLevel="0" max="3" min="3" style="1" width="10.85"/>
    <col collapsed="false" customWidth="true" hidden="false" outlineLevel="0" max="4" min="4" style="1" width="12"/>
    <col collapsed="false" customWidth="true" hidden="false" outlineLevel="0" max="20" min="5" style="1" width="10.57"/>
    <col collapsed="false" customWidth="true" hidden="false" outlineLevel="0" max="21" min="21" style="1" width="3.57"/>
    <col collapsed="false" customWidth="true" hidden="false" outlineLevel="0" max="22" min="22" style="1" width="10.57"/>
    <col collapsed="false" customWidth="true" hidden="false" outlineLevel="0" max="23" min="23" style="1" width="36"/>
    <col collapsed="false" customWidth="true" hidden="false" outlineLevel="0" max="90" min="24" style="1" width="10.57"/>
    <col collapsed="false" customWidth="true" hidden="false" outlineLevel="0" max="93" min="91" style="1" width="12"/>
    <col collapsed="false" customWidth="true" hidden="false" outlineLevel="0" max="94" min="94" style="1" width="11"/>
    <col collapsed="false" customWidth="true" hidden="false" outlineLevel="0" max="98" min="95" style="1" width="9.14"/>
    <col collapsed="false" customWidth="true" hidden="false" outlineLevel="0" max="105" min="99" style="1" width="8"/>
  </cols>
  <sheetData>
    <row r="1" customFormat="false" ht="11.25" hidden="false" customHeight="true" outlineLevel="0" collapsed="false">
      <c r="A1" s="104"/>
      <c r="B1" s="105"/>
      <c r="C1" s="59"/>
      <c r="D1" s="59"/>
      <c r="E1" s="5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customFormat="false" ht="26.25" hidden="false" customHeight="true" outlineLevel="0" collapsed="false">
      <c r="A2" s="104"/>
      <c r="B2" s="106" t="s">
        <v>55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2"/>
      <c r="V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customFormat="false" ht="24" hidden="false" customHeight="true" outlineLevel="0" collapsed="false">
      <c r="A3" s="107"/>
      <c r="B3" s="108" t="s">
        <v>56</v>
      </c>
      <c r="C3" s="108"/>
      <c r="D3" s="109"/>
      <c r="E3" s="110"/>
      <c r="F3" s="111" t="s">
        <v>19</v>
      </c>
      <c r="G3" s="112" t="n">
        <f aca="false">IF('Data Entry'!$I$9="","",'Data Entry'!$I$9)</f>
        <v>2023</v>
      </c>
      <c r="H3" s="112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13"/>
      <c r="U3" s="2"/>
      <c r="V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</row>
    <row r="4" customFormat="false" ht="12" hidden="false" customHeight="true" outlineLevel="0" collapsed="false">
      <c r="A4" s="114"/>
      <c r="B4" s="115"/>
      <c r="C4" s="116"/>
      <c r="D4" s="116"/>
      <c r="E4" s="116"/>
      <c r="F4" s="117"/>
      <c r="G4" s="117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8"/>
      <c r="U4" s="2"/>
      <c r="V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</row>
    <row r="5" customFormat="false" ht="15.75" hidden="false" customHeight="true" outlineLevel="0" collapsed="false">
      <c r="A5" s="119"/>
      <c r="B5" s="120" t="s">
        <v>5</v>
      </c>
      <c r="C5" s="121" t="n">
        <f aca="false">IF('Data Entry'!$I$5="","",'Data Entry'!$I$5)</f>
        <v>45182</v>
      </c>
      <c r="D5" s="121"/>
      <c r="E5" s="116"/>
      <c r="F5" s="122" t="s">
        <v>11</v>
      </c>
      <c r="G5" s="123" t="str">
        <f aca="false">IF('Data Entry'!$I$7="","",'Data Entry'!$I$7)</f>
        <v>GP32H</v>
      </c>
      <c r="H5" s="123"/>
      <c r="I5" s="123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8"/>
      <c r="U5" s="2"/>
      <c r="V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</row>
    <row r="6" customFormat="false" ht="15.75" hidden="false" customHeight="true" outlineLevel="0" collapsed="false">
      <c r="A6" s="119"/>
      <c r="B6" s="120" t="s">
        <v>8</v>
      </c>
      <c r="C6" s="124" t="str">
        <f aca="false">IF('Data Entry'!$I$6="","",'Data Entry'!$I$6)</f>
        <v>Apenas um grande teste</v>
      </c>
      <c r="D6" s="124"/>
      <c r="E6" s="116"/>
      <c r="F6" s="122" t="s">
        <v>57</v>
      </c>
      <c r="G6" s="121" t="str">
        <f aca="false">IF('Data Entry'!$I$8="","",'Data Entry'!$I$8)</f>
        <v>WISTRON</v>
      </c>
      <c r="H6" s="121"/>
      <c r="I6" s="121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8"/>
      <c r="U6" s="2"/>
      <c r="V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</row>
    <row r="7" customFormat="false" ht="18.75" hidden="false" customHeight="true" outlineLevel="0" collapsed="false">
      <c r="A7" s="114"/>
      <c r="B7" s="115"/>
      <c r="C7" s="116"/>
      <c r="D7" s="116"/>
      <c r="E7" s="117"/>
      <c r="F7" s="117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8"/>
      <c r="U7" s="2"/>
      <c r="V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customFormat="false" ht="13.5" hidden="false" customHeight="true" outlineLevel="0" collapsed="false">
      <c r="A8" s="125"/>
      <c r="B8" s="126" t="s">
        <v>58</v>
      </c>
      <c r="C8" s="127" t="s">
        <v>59</v>
      </c>
      <c r="D8" s="127"/>
      <c r="E8" s="128" t="str">
        <f aca="false">'Data Entry'!E$11</f>
        <v>No user</v>
      </c>
      <c r="F8" s="128"/>
      <c r="G8" s="129" t="str">
        <f aca="false">'Data Entry'!H$11</f>
        <v>No user</v>
      </c>
      <c r="H8" s="129"/>
      <c r="I8" s="129" t="str">
        <f aca="false">'Data Entry'!K$11</f>
        <v>No user</v>
      </c>
      <c r="J8" s="129"/>
      <c r="K8" s="129" t="str">
        <f aca="false">'Data Entry'!N$11</f>
        <v>No user</v>
      </c>
      <c r="L8" s="129"/>
      <c r="M8" s="129" t="str">
        <f aca="false">'Data Entry'!Q$11</f>
        <v>No user</v>
      </c>
      <c r="N8" s="129"/>
      <c r="O8" s="129" t="str">
        <f aca="false">'Data Entry'!T$11</f>
        <v>No user</v>
      </c>
      <c r="P8" s="129"/>
      <c r="Q8" s="129" t="str">
        <f aca="false">'Data Entry'!W$11</f>
        <v>No user</v>
      </c>
      <c r="R8" s="129"/>
      <c r="S8" s="130" t="str">
        <f aca="false">'Data Entry'!Z$11</f>
        <v>No user</v>
      </c>
      <c r="T8" s="130"/>
      <c r="U8" s="3"/>
      <c r="V8" s="2"/>
      <c r="W8" s="3"/>
      <c r="X8" s="2"/>
      <c r="Y8" s="3"/>
      <c r="Z8" s="2"/>
      <c r="AA8" s="3"/>
      <c r="AB8" s="2"/>
      <c r="AC8" s="3"/>
      <c r="AD8" s="2"/>
      <c r="AE8" s="3"/>
      <c r="AF8" s="2"/>
      <c r="AG8" s="3"/>
      <c r="AH8" s="2"/>
      <c r="AI8" s="3"/>
      <c r="AJ8" s="2"/>
      <c r="AK8" s="3"/>
      <c r="AL8" s="2"/>
      <c r="AM8" s="3"/>
      <c r="AN8" s="2"/>
      <c r="AO8" s="3"/>
      <c r="AP8" s="2"/>
      <c r="AQ8" s="3"/>
      <c r="AR8" s="2"/>
      <c r="AS8" s="3"/>
      <c r="AT8" s="2"/>
      <c r="AU8" s="3"/>
      <c r="AV8" s="2"/>
      <c r="AW8" s="3"/>
      <c r="AX8" s="2"/>
      <c r="AY8" s="3"/>
      <c r="AZ8" s="2"/>
      <c r="BA8" s="3"/>
      <c r="BB8" s="2"/>
      <c r="BC8" s="3"/>
      <c r="BD8" s="2"/>
      <c r="BE8" s="3"/>
      <c r="BF8" s="2"/>
      <c r="BG8" s="3"/>
      <c r="BH8" s="2"/>
      <c r="BI8" s="3"/>
      <c r="BJ8" s="2"/>
      <c r="BK8" s="3"/>
      <c r="BL8" s="2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customFormat="false" ht="53.25" hidden="false" customHeight="true" outlineLevel="0" collapsed="false">
      <c r="A9" s="85"/>
      <c r="B9" s="131" t="s">
        <v>60</v>
      </c>
      <c r="C9" s="132" t="s">
        <v>61</v>
      </c>
      <c r="D9" s="133" t="s">
        <v>62</v>
      </c>
      <c r="E9" s="134" t="s">
        <v>63</v>
      </c>
      <c r="F9" s="135" t="s">
        <v>64</v>
      </c>
      <c r="G9" s="136" t="s">
        <v>65</v>
      </c>
      <c r="H9" s="137" t="s">
        <v>66</v>
      </c>
      <c r="I9" s="136" t="s">
        <v>65</v>
      </c>
      <c r="J9" s="137" t="s">
        <v>66</v>
      </c>
      <c r="K9" s="136" t="s">
        <v>65</v>
      </c>
      <c r="L9" s="137" t="s">
        <v>66</v>
      </c>
      <c r="M9" s="136" t="s">
        <v>65</v>
      </c>
      <c r="N9" s="137" t="s">
        <v>66</v>
      </c>
      <c r="O9" s="136" t="s">
        <v>65</v>
      </c>
      <c r="P9" s="137" t="s">
        <v>66</v>
      </c>
      <c r="Q9" s="136" t="s">
        <v>65</v>
      </c>
      <c r="R9" s="137" t="s">
        <v>66</v>
      </c>
      <c r="S9" s="136" t="s">
        <v>65</v>
      </c>
      <c r="T9" s="138" t="s">
        <v>66</v>
      </c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customFormat="false" ht="12.75" hidden="false" customHeight="true" outlineLevel="0" collapsed="false">
      <c r="A10" s="85"/>
      <c r="B10" s="131" t="s">
        <v>67</v>
      </c>
      <c r="C10" s="140" t="n">
        <f aca="false">E10+G10+I10+K10+M10+O10+Q10+S10</f>
        <v>0</v>
      </c>
      <c r="D10" s="141" t="n">
        <f aca="false">F10+H10+J10+L10+N10+P10+R10+T10</f>
        <v>0</v>
      </c>
      <c r="E10" s="142" t="n">
        <f aca="false">IF(E8="No user",0,COUNTIF(Calculation!E13:G42,"&gt;=-1"))</f>
        <v>0</v>
      </c>
      <c r="F10" s="141" t="n">
        <f aca="false">IF(E8="No user",0,COUNTIF(Calculation!E13:G42,"&gt;=-1"))</f>
        <v>0</v>
      </c>
      <c r="G10" s="142" t="n">
        <f aca="false">IF(E8="No user",0,COUNTIF(Calculation!H13:J42,"&gt;=-1"))</f>
        <v>0</v>
      </c>
      <c r="H10" s="141" t="n">
        <f aca="false">IF(E8="No user",0,COUNTIF(Calculation!H13:J42,"&gt;=-1"))</f>
        <v>0</v>
      </c>
      <c r="I10" s="142" t="n">
        <f aca="false">IF(E8="No user",0,COUNTIF(Calculation!K13:M42,"&gt;=-1"))</f>
        <v>0</v>
      </c>
      <c r="J10" s="141" t="n">
        <f aca="false">IF(E8="No user",0,COUNTIF(Calculation!K13:M42,"&gt;=-1"))</f>
        <v>0</v>
      </c>
      <c r="K10" s="142" t="n">
        <f aca="false">IF(E8="No user",0,COUNTIF(Calculation!N13:P42,"&gt;=-1"))</f>
        <v>0</v>
      </c>
      <c r="L10" s="141" t="n">
        <f aca="false">IF(E8="No user",0,COUNTIF(Calculation!N13:P42,"&gt;=-1"))</f>
        <v>0</v>
      </c>
      <c r="M10" s="142" t="n">
        <f aca="false">IF(E8="No user",0,COUNTIF(Calculation!Q13:S42,"&gt;=-1"))</f>
        <v>0</v>
      </c>
      <c r="N10" s="141" t="n">
        <f aca="false">IF(E8="No user",0,COUNTIF(Calculation!Q13:S42,"&gt;=-1"))</f>
        <v>0</v>
      </c>
      <c r="O10" s="142" t="n">
        <f aca="false">IF(E8="No user",0,COUNTIF(Calculation!T13:V42,"&gt;=-1"))</f>
        <v>0</v>
      </c>
      <c r="P10" s="141" t="n">
        <f aca="false">IF(E8="No user",0,COUNTIF(Calculation!T13:V42,"&gt;=-1"))</f>
        <v>0</v>
      </c>
      <c r="Q10" s="142" t="n">
        <f aca="false">IF(E8="No user",0,COUNTIF(Calculation!W13:Y42,"&gt;=-1"))</f>
        <v>0</v>
      </c>
      <c r="R10" s="141" t="n">
        <f aca="false">IF(E8="No user",0,COUNTIF(Calculation!W13:Y42,"&gt;=-1"))</f>
        <v>0</v>
      </c>
      <c r="S10" s="142" t="n">
        <f aca="false">IF(E8="No user",0,COUNTIF(Calculation!Z13:AB42,"&gt;=-1"))</f>
        <v>0</v>
      </c>
      <c r="T10" s="143" t="n">
        <f aca="false">IF(E8="No user",0,COUNTIF(Calculation!Z13:AB42,"&gt;=-1"))</f>
        <v>0</v>
      </c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customFormat="false" ht="13.5" hidden="false" customHeight="true" outlineLevel="0" collapsed="false">
      <c r="A11" s="85"/>
      <c r="B11" s="131" t="s">
        <v>68</v>
      </c>
      <c r="C11" s="145" t="n">
        <f aca="false">E11+G11+I11+K11+M11+O11+Q11+S11</f>
        <v>0</v>
      </c>
      <c r="D11" s="146" t="n">
        <f aca="false">F11+H11+J11+L11+N11+P11+R11+T11</f>
        <v>0</v>
      </c>
      <c r="E11" s="147" t="n">
        <f aca="false">IF(E8="No user",0,COUNTIF(Calculation!E13:G42,"=1"))</f>
        <v>0</v>
      </c>
      <c r="F11" s="146" t="n">
        <f aca="false">IF(F8="No user",0,COUNTIF(Calculation!E13:G42,"=1"))</f>
        <v>0</v>
      </c>
      <c r="G11" s="147" t="n">
        <f aca="false">IF(G8="No user",0,COUNTIF(Calculation!H13:J42,"=1"))</f>
        <v>0</v>
      </c>
      <c r="H11" s="146" t="n">
        <f aca="false">IF(H8="No user",0,COUNTIF(Calculation!H13:J42,"=1"))</f>
        <v>0</v>
      </c>
      <c r="I11" s="147" t="n">
        <f aca="false">IF(I8="No user",0,COUNTIF(Calculation!K13:M42,"=1"))</f>
        <v>0</v>
      </c>
      <c r="J11" s="146" t="n">
        <f aca="false">IF(J8="No user",0,COUNTIF(Calculation!K13:M42,"=1"))</f>
        <v>0</v>
      </c>
      <c r="K11" s="147" t="n">
        <f aca="false">IF(K8="No user",0,COUNTIF(Calculation!N13:P42,"=1"))</f>
        <v>0</v>
      </c>
      <c r="L11" s="146" t="n">
        <f aca="false">IF(L8="No user",0,COUNTIF(Calculation!N13:P42,"=1"))</f>
        <v>0</v>
      </c>
      <c r="M11" s="147" t="n">
        <f aca="false">IF(M8="No user",0,COUNTIF(Calculation!Q13:S42,"=1"))</f>
        <v>0</v>
      </c>
      <c r="N11" s="146" t="n">
        <f aca="false">IF(N8="No user",0,COUNTIF(Calculation!Q13:S42,"=1"))</f>
        <v>0</v>
      </c>
      <c r="O11" s="147" t="n">
        <f aca="false">IF(O8="No user",0,COUNTIF(Calculation!T13:V42,"=1"))</f>
        <v>0</v>
      </c>
      <c r="P11" s="146" t="n">
        <f aca="false">IF(P8="No user",0,COUNTIF(Calculation!T13:V42,"=1"))</f>
        <v>0</v>
      </c>
      <c r="Q11" s="147" t="n">
        <f aca="false">IF(Q8="No user",0,COUNTIF(Calculation!W13:Y42,"=1"))</f>
        <v>0</v>
      </c>
      <c r="R11" s="146" t="n">
        <f aca="false">IF(R8="No user",0,COUNTIF(Calculation!W13:Y42,"=1"))</f>
        <v>0</v>
      </c>
      <c r="S11" s="147" t="n">
        <f aca="false">IF(S8="No user",0,COUNTIF(Calculation!Z13:AB42,"=1"))</f>
        <v>0</v>
      </c>
      <c r="T11" s="148" t="n">
        <f aca="false">IF(T8="No user",0,COUNTIF(Calculation!Z13:AB42,"=1"))</f>
        <v>0</v>
      </c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customFormat="false" ht="14.25" hidden="false" customHeight="true" outlineLevel="0" collapsed="false">
      <c r="A12" s="85"/>
      <c r="B12" s="131" t="s">
        <v>69</v>
      </c>
      <c r="C12" s="149" t="n">
        <f aca="false">'Data Entry'!D43</f>
        <v>0</v>
      </c>
      <c r="D12" s="150"/>
      <c r="E12" s="151"/>
      <c r="F12" s="150"/>
      <c r="G12" s="151"/>
      <c r="H12" s="150"/>
      <c r="I12" s="151"/>
      <c r="J12" s="150"/>
      <c r="K12" s="151"/>
      <c r="L12" s="150"/>
      <c r="M12" s="151"/>
      <c r="N12" s="150"/>
      <c r="O12" s="151"/>
      <c r="P12" s="150"/>
      <c r="Q12" s="151"/>
      <c r="R12" s="150"/>
      <c r="S12" s="151"/>
      <c r="T12" s="152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customFormat="false" ht="15.75" hidden="false" customHeight="true" outlineLevel="0" collapsed="false">
      <c r="A13" s="125"/>
      <c r="B13" s="154" t="s">
        <v>70</v>
      </c>
      <c r="C13" s="155" t="str">
        <f aca="false">IF(C10=0,"",C11/C10)</f>
        <v/>
      </c>
      <c r="D13" s="156" t="str">
        <f aca="false">IF(D10=0,"",D11/D10)</f>
        <v/>
      </c>
      <c r="E13" s="157" t="str">
        <f aca="false">IF(OR(E8="No user", E11=0), "", E11/E10)</f>
        <v/>
      </c>
      <c r="F13" s="157" t="str">
        <f aca="false">IF(OR(F8="No user", F11=0), "", F11/F10)</f>
        <v/>
      </c>
      <c r="G13" s="157" t="str">
        <f aca="false">IF(OR(G8="No user", G11=0), "", G11/G10)</f>
        <v/>
      </c>
      <c r="H13" s="157" t="str">
        <f aca="false">IF(OR(H8="No user", H11=0), "", H11/H10)</f>
        <v/>
      </c>
      <c r="I13" s="157" t="str">
        <f aca="false">IF(OR(I8="No user", I11=0), "", I11/I10)</f>
        <v/>
      </c>
      <c r="J13" s="157" t="str">
        <f aca="false">IF(OR(I8="No user", J11=0), "", J11/J10)</f>
        <v/>
      </c>
      <c r="K13" s="157" t="str">
        <f aca="false">IF(OR(K8="No user", K11=0), "", K11/K10)</f>
        <v/>
      </c>
      <c r="L13" s="157" t="str">
        <f aca="false">IF(OR(K8="No user", L11=0), "", L11/L10)</f>
        <v/>
      </c>
      <c r="M13" s="157" t="str">
        <f aca="false">IF(OR(M8="No user", M11=0), "", M11/M10)</f>
        <v/>
      </c>
      <c r="N13" s="157" t="str">
        <f aca="false">IF(OR(M8="No user", N11=0), "", N11/N10)</f>
        <v/>
      </c>
      <c r="O13" s="157" t="str">
        <f aca="false">IF(OR(O8="No user", O11=0), "", O11/O10)</f>
        <v/>
      </c>
      <c r="P13" s="157" t="str">
        <f aca="false">IF(OR(O8="No user", P11=0), "", P11/P10)</f>
        <v/>
      </c>
      <c r="Q13" s="157" t="str">
        <f aca="false">IF(OR(Q8="No user", Q11=0), "", Q11/Q10)</f>
        <v/>
      </c>
      <c r="R13" s="157" t="str">
        <f aca="false">IF(OR(Q8="No user", R11=0), "", R11/R10)</f>
        <v/>
      </c>
      <c r="S13" s="157" t="str">
        <f aca="false">IF(OR(S8="No user", S11=0), "", S11/S10)</f>
        <v/>
      </c>
      <c r="T13" s="157" t="str">
        <f aca="false">IF(OR(S8="No user", T11=0), "", T11/T10)</f>
        <v/>
      </c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customFormat="false" ht="15.75" hidden="false" customHeight="true" outlineLevel="0" collapsed="false">
      <c r="A14" s="85"/>
      <c r="B14" s="159" t="s">
        <v>71</v>
      </c>
      <c r="C14" s="159"/>
      <c r="D14" s="160" t="e">
        <f aca="false">_xlfn.STDEV.S(E13,G13,I13,K13,M13,O13,Q13,S13)</f>
        <v>#DIV/0!</v>
      </c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customFormat="false" ht="15.75" hidden="false" customHeight="true" outlineLevel="0" collapsed="false">
      <c r="A15" s="125"/>
      <c r="B15" s="161" t="s">
        <v>72</v>
      </c>
      <c r="C15" s="155" t="str">
        <f aca="false">IF(C13="","",IF(C13&lt;$C$40,$C$37,IF(C13&gt;=$E$40,$E$37,$D$37)))</f>
        <v/>
      </c>
      <c r="D15" s="156" t="str">
        <f aca="false">IF(D13="","",IF(D13&lt;$C$40,$C$37,IF(D13&gt;=$E$40,$E$37,$D$37)))</f>
        <v/>
      </c>
      <c r="E15" s="156" t="str">
        <f aca="false">IF(E13="","",IF(E13&lt;$C$40,$C$37,IF(E13&gt;=$E$40,$E$37,$D$37)))</f>
        <v/>
      </c>
      <c r="F15" s="156" t="str">
        <f aca="false">IF(F13="","",IF(F13&lt;$C$40,$C$37,IF(F13&gt;=$E$40,$E$37,$D$37)))</f>
        <v/>
      </c>
      <c r="G15" s="162" t="str">
        <f aca="false">IF(G13="","",IF(G13&lt;$C$40,$C$37,IF(G13&gt;=$E$40,$E$37,$D$37)))</f>
        <v/>
      </c>
      <c r="H15" s="156" t="str">
        <f aca="false">IF(H13="","",IF(H13&lt;$C$40,$C$37,IF(H13&gt;=$E$40,$E$37,$D$37)))</f>
        <v/>
      </c>
      <c r="I15" s="162" t="str">
        <f aca="false">IF(I13="","",IF(I13&lt;$C$40,$C$37,IF(I13&gt;=$E$40,$E$37,$D$37)))</f>
        <v/>
      </c>
      <c r="J15" s="156" t="str">
        <f aca="false">IF(J13="","",IF(J13&lt;$C$40,$C$37,IF(J13&gt;=$E$40,$E$37,$D$37)))</f>
        <v/>
      </c>
      <c r="K15" s="162" t="str">
        <f aca="false">IF(K13="","",IF(K13&lt;$C$40,$C$37,IF(K13&gt;=$E$40,$E$37,$D$37)))</f>
        <v/>
      </c>
      <c r="L15" s="156" t="str">
        <f aca="false">IF(L13="","",IF(L13&lt;$C$40,$C$37,IF(L13&gt;=$E$40,$E$37,$D$37)))</f>
        <v/>
      </c>
      <c r="M15" s="162" t="str">
        <f aca="false">IF(M13="","",IF(M13&lt;$C$40,$C$37,IF(M13&gt;=$E$40,$E$37,$D$37)))</f>
        <v/>
      </c>
      <c r="N15" s="156" t="str">
        <f aca="false">IF(N13="","",IF(N13&lt;$C$40,$C$37,IF(N13&gt;=$E$40,$E$37,$D$37)))</f>
        <v/>
      </c>
      <c r="O15" s="162" t="str">
        <f aca="false">IF(O13="","",IF(O13&lt;$C$40,$C$37,IF(O13&gt;=$E$40,$E$37,$D$37)))</f>
        <v/>
      </c>
      <c r="P15" s="156" t="str">
        <f aca="false">IF(P13="","",IF(P13&lt;$C$40,$C$37,IF(P13&gt;=$E$40,$E$37,$D$37)))</f>
        <v/>
      </c>
      <c r="Q15" s="162" t="str">
        <f aca="false">IF(Q13="","",IF(Q13&lt;$C$40,$C$37,IF(Q13&gt;=$E$40,$E$37,$D$37)))</f>
        <v/>
      </c>
      <c r="R15" s="156" t="str">
        <f aca="false">IF(R13="","",IF(R13&lt;$C$40,$C$37,IF(R13&gt;=$E$40,$E$37,$D$37)))</f>
        <v/>
      </c>
      <c r="S15" s="162" t="str">
        <f aca="false">IF(S13="","",IF(S13&lt;$C$40,$C$37,IF(S13&gt;=$E$40,$E$37,$D$37)))</f>
        <v/>
      </c>
      <c r="T15" s="163" t="str">
        <f aca="false">IF(T13="","",IF(T13&lt;$C$40,$C$37,IF(T13&gt;=$E$40,$E$37,$D$37)))</f>
        <v/>
      </c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customFormat="false" ht="7.5" hidden="false" customHeight="true" outlineLevel="0" collapsed="false">
      <c r="A16" s="125"/>
      <c r="B16" s="164"/>
      <c r="C16" s="165"/>
      <c r="D16" s="165"/>
      <c r="E16" s="166"/>
      <c r="F16" s="165"/>
      <c r="G16" s="167"/>
      <c r="H16" s="116"/>
      <c r="I16" s="167"/>
      <c r="J16" s="116"/>
      <c r="K16" s="167"/>
      <c r="L16" s="116"/>
      <c r="M16" s="167"/>
      <c r="N16" s="116"/>
      <c r="O16" s="167"/>
      <c r="P16" s="116"/>
      <c r="Q16" s="167"/>
      <c r="R16" s="116"/>
      <c r="S16" s="167"/>
      <c r="T16" s="118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customFormat="false" ht="18" hidden="false" customHeight="true" outlineLevel="0" collapsed="false">
      <c r="A17" s="168"/>
      <c r="B17" s="169" t="s">
        <v>73</v>
      </c>
      <c r="C17" s="169"/>
      <c r="D17" s="169"/>
      <c r="E17" s="170" t="s">
        <v>74</v>
      </c>
      <c r="F17" s="171" t="s">
        <v>75</v>
      </c>
      <c r="G17" s="172" t="s">
        <v>74</v>
      </c>
      <c r="H17" s="173" t="s">
        <v>75</v>
      </c>
      <c r="I17" s="172" t="s">
        <v>74</v>
      </c>
      <c r="J17" s="173" t="s">
        <v>75</v>
      </c>
      <c r="K17" s="172" t="s">
        <v>74</v>
      </c>
      <c r="L17" s="173" t="s">
        <v>75</v>
      </c>
      <c r="M17" s="172" t="s">
        <v>74</v>
      </c>
      <c r="N17" s="173" t="s">
        <v>75</v>
      </c>
      <c r="O17" s="172" t="s">
        <v>74</v>
      </c>
      <c r="P17" s="173" t="s">
        <v>75</v>
      </c>
      <c r="Q17" s="172" t="s">
        <v>74</v>
      </c>
      <c r="R17" s="173" t="s">
        <v>75</v>
      </c>
      <c r="S17" s="172" t="s">
        <v>74</v>
      </c>
      <c r="T17" s="174" t="s">
        <v>75</v>
      </c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customFormat="false" ht="18.75" hidden="false" customHeight="true" outlineLevel="0" collapsed="false">
      <c r="A18" s="175"/>
      <c r="B18" s="176" t="s">
        <v>76</v>
      </c>
      <c r="C18" s="176"/>
      <c r="D18" s="176"/>
      <c r="E18" s="142" t="n">
        <f aca="false">IF(E8="No user",0,COUNTIF(Calculation!E13:G42,"=0"))</f>
        <v>0</v>
      </c>
      <c r="F18" s="177" t="str">
        <f aca="false">IF($G$29=0,"",E18/$G$29)</f>
        <v/>
      </c>
      <c r="G18" s="142" t="n">
        <f aca="false">IF(G8="No user",0,COUNTIF(Calculation!H13:J42,"=0"))</f>
        <v>0</v>
      </c>
      <c r="H18" s="177" t="str">
        <f aca="false">IF($G$29=0,"",G18/$G$29)</f>
        <v/>
      </c>
      <c r="I18" s="142" t="n">
        <f aca="false">IF(I8="No user",0,COUNTIF(Calculation!K13:M42,"=0"))</f>
        <v>0</v>
      </c>
      <c r="J18" s="177" t="str">
        <f aca="false">IF($G$29=0,"",I18/$G$29)</f>
        <v/>
      </c>
      <c r="K18" s="142" t="n">
        <f aca="false">IF(K8="No user",0,COUNTIF(Calculation!N13:P42,"=0"))</f>
        <v>0</v>
      </c>
      <c r="L18" s="177" t="str">
        <f aca="false">IF($G$29=0,"",K18/$G$29)</f>
        <v/>
      </c>
      <c r="M18" s="142" t="n">
        <f aca="false">IF(M8="No user",0,COUNTIF(Calculation!Q13:S42,"=0"))</f>
        <v>0</v>
      </c>
      <c r="N18" s="177" t="str">
        <f aca="false">IF($G$29=0,"",M18/$G$29)</f>
        <v/>
      </c>
      <c r="O18" s="142" t="n">
        <f aca="false">IF(O8="No user",0,COUNTIF(Calculation!T13:V42,"=0"))</f>
        <v>0</v>
      </c>
      <c r="P18" s="177" t="str">
        <f aca="false">IF($G$29=0,"",O18/$G$29)</f>
        <v/>
      </c>
      <c r="Q18" s="142" t="n">
        <f aca="false">IF(Q8="No user",0,COUNTIF(Calculation!W13:Y42,"=0"))</f>
        <v>0</v>
      </c>
      <c r="R18" s="177" t="str">
        <f aca="false">IF($G$29=0,"",Q18/$G$29)</f>
        <v/>
      </c>
      <c r="S18" s="142" t="n">
        <f aca="false">IF(S8="No user",0,COUNTIF(Calculation!Z13:AB42,"=0"))</f>
        <v>0</v>
      </c>
      <c r="T18" s="178" t="str">
        <f aca="false">IF($G$29=0,"",S18/$G$29)</f>
        <v/>
      </c>
      <c r="U18" s="144"/>
      <c r="V18" s="179"/>
      <c r="W18" s="144"/>
      <c r="X18" s="179"/>
      <c r="Y18" s="144"/>
      <c r="Z18" s="179"/>
      <c r="AA18" s="144"/>
      <c r="AB18" s="179"/>
      <c r="AC18" s="144"/>
      <c r="AD18" s="179"/>
      <c r="AE18" s="144"/>
      <c r="AF18" s="179"/>
      <c r="AG18" s="144"/>
      <c r="AH18" s="179"/>
      <c r="AI18" s="144"/>
      <c r="AJ18" s="179"/>
      <c r="AK18" s="144"/>
      <c r="AL18" s="179"/>
      <c r="AM18" s="144"/>
      <c r="AN18" s="179"/>
      <c r="AO18" s="144"/>
      <c r="AP18" s="179"/>
      <c r="AQ18" s="144"/>
      <c r="AR18" s="179"/>
      <c r="AS18" s="144"/>
      <c r="AT18" s="179"/>
      <c r="AU18" s="144"/>
      <c r="AV18" s="179"/>
      <c r="AW18" s="144"/>
      <c r="AX18" s="179"/>
      <c r="AY18" s="144"/>
      <c r="AZ18" s="179"/>
      <c r="BA18" s="144"/>
      <c r="BB18" s="179"/>
      <c r="BC18" s="144"/>
      <c r="BD18" s="179"/>
      <c r="BE18" s="144"/>
      <c r="BF18" s="179"/>
      <c r="BG18" s="144"/>
      <c r="BH18" s="179"/>
      <c r="BI18" s="144"/>
      <c r="BJ18" s="179"/>
      <c r="BK18" s="144"/>
      <c r="BL18" s="179"/>
      <c r="BM18" s="144"/>
      <c r="BN18" s="179"/>
      <c r="BO18" s="144"/>
      <c r="BP18" s="179"/>
      <c r="BQ18" s="144"/>
      <c r="BR18" s="179"/>
      <c r="BS18" s="144"/>
      <c r="BT18" s="179"/>
      <c r="BU18" s="144"/>
      <c r="BV18" s="179"/>
      <c r="BW18" s="144"/>
      <c r="BX18" s="179"/>
      <c r="BY18" s="144"/>
      <c r="BZ18" s="179"/>
      <c r="CA18" s="144"/>
      <c r="CB18" s="179"/>
      <c r="CC18" s="144"/>
      <c r="CD18" s="179"/>
      <c r="CE18" s="144"/>
      <c r="CF18" s="179"/>
      <c r="CG18" s="144"/>
      <c r="CH18" s="179"/>
      <c r="CI18" s="144"/>
      <c r="CJ18" s="179"/>
      <c r="CK18" s="144"/>
      <c r="CL18" s="179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customFormat="false" ht="17.25" hidden="false" customHeight="true" outlineLevel="0" collapsed="false">
      <c r="A19" s="85"/>
      <c r="B19" s="180" t="s">
        <v>77</v>
      </c>
      <c r="C19" s="180"/>
      <c r="D19" s="180"/>
      <c r="E19" s="142" t="n">
        <f aca="false">IF(E9="No user",0,COUNTIF(Calculation!E14:G43,"=-1"))</f>
        <v>0</v>
      </c>
      <c r="F19" s="177" t="str">
        <f aca="false">IF($G$29=0,"",E19/$G$29)</f>
        <v/>
      </c>
      <c r="G19" s="142" t="n">
        <f aca="false">IF(G9="No user",0,COUNTIF(Calculation!H14:J43,"=-1"))</f>
        <v>0</v>
      </c>
      <c r="H19" s="177" t="str">
        <f aca="false">IF($G$29=0,"",G19/$G$29)</f>
        <v/>
      </c>
      <c r="I19" s="142" t="n">
        <f aca="false">IF(I9="No user",0,COUNTIF(Calculation!K14:M43,"=-1"))</f>
        <v>0</v>
      </c>
      <c r="J19" s="177" t="str">
        <f aca="false">IF($G$29=0,"",I19/$G$29)</f>
        <v/>
      </c>
      <c r="K19" s="142" t="n">
        <f aca="false">IF(K9="No user",0,COUNTIF(Calculation!N14:P43,"=-1"))</f>
        <v>0</v>
      </c>
      <c r="L19" s="177" t="str">
        <f aca="false">IF($G$29=0,"",K19/$G$29)</f>
        <v/>
      </c>
      <c r="M19" s="142" t="n">
        <f aca="false">IF(M9="No user",0,COUNTIF(Calculation!Q14:S43,"=-1"))</f>
        <v>0</v>
      </c>
      <c r="N19" s="177" t="str">
        <f aca="false">IF($G$29=0,"",M19/$G$29)</f>
        <v/>
      </c>
      <c r="O19" s="142" t="n">
        <f aca="false">IF(O9="No user",0,COUNTIF(Calculation!T14:V43,"=-1"))</f>
        <v>0</v>
      </c>
      <c r="P19" s="177" t="str">
        <f aca="false">IF($G$29=0,"",O19/$G$29)</f>
        <v/>
      </c>
      <c r="Q19" s="142" t="n">
        <f aca="false">IF(Q9="No user",0,COUNTIF(Calculation!W14:Y43,"=-1"))</f>
        <v>0</v>
      </c>
      <c r="R19" s="177" t="str">
        <f aca="false">IF($G$29=0,"",Q19/$G$29)</f>
        <v/>
      </c>
      <c r="S19" s="142" t="n">
        <f aca="false">IF(S9="No user",0,COUNTIF(Calculation!Z14:AB43,"=-1"))</f>
        <v>0</v>
      </c>
      <c r="T19" s="178" t="str">
        <f aca="false">IF($G$29=0,"",S19/$G$29)</f>
        <v/>
      </c>
      <c r="U19" s="144"/>
      <c r="V19" s="179"/>
      <c r="W19" s="144"/>
      <c r="X19" s="179"/>
      <c r="Y19" s="144"/>
      <c r="Z19" s="179"/>
      <c r="AA19" s="144"/>
      <c r="AB19" s="179"/>
      <c r="AC19" s="144"/>
      <c r="AD19" s="179"/>
      <c r="AE19" s="144"/>
      <c r="AF19" s="179"/>
      <c r="AG19" s="144"/>
      <c r="AH19" s="179"/>
      <c r="AI19" s="144"/>
      <c r="AJ19" s="179"/>
      <c r="AK19" s="144"/>
      <c r="AL19" s="179"/>
      <c r="AM19" s="144"/>
      <c r="AN19" s="179"/>
      <c r="AO19" s="144"/>
      <c r="AP19" s="179"/>
      <c r="AQ19" s="144"/>
      <c r="AR19" s="179"/>
      <c r="AS19" s="144"/>
      <c r="AT19" s="179"/>
      <c r="AU19" s="144"/>
      <c r="AV19" s="179"/>
      <c r="AW19" s="144"/>
      <c r="AX19" s="179"/>
      <c r="AY19" s="144"/>
      <c r="AZ19" s="179"/>
      <c r="BA19" s="144"/>
      <c r="BB19" s="179"/>
      <c r="BC19" s="144"/>
      <c r="BD19" s="179"/>
      <c r="BE19" s="144"/>
      <c r="BF19" s="179"/>
      <c r="BG19" s="144"/>
      <c r="BH19" s="179"/>
      <c r="BI19" s="144"/>
      <c r="BJ19" s="179"/>
      <c r="BK19" s="144"/>
      <c r="BL19" s="179"/>
      <c r="BM19" s="144"/>
      <c r="BN19" s="179"/>
      <c r="BO19" s="144"/>
      <c r="BP19" s="179"/>
      <c r="BQ19" s="144"/>
      <c r="BR19" s="179"/>
      <c r="BS19" s="144"/>
      <c r="BT19" s="179"/>
      <c r="BU19" s="144"/>
      <c r="BV19" s="179"/>
      <c r="BW19" s="144"/>
      <c r="BX19" s="179"/>
      <c r="BY19" s="144"/>
      <c r="BZ19" s="179"/>
      <c r="CA19" s="144"/>
      <c r="CB19" s="179"/>
      <c r="CC19" s="144"/>
      <c r="CD19" s="179"/>
      <c r="CE19" s="144"/>
      <c r="CF19" s="179"/>
      <c r="CG19" s="144"/>
      <c r="CH19" s="179"/>
      <c r="CI19" s="144"/>
      <c r="CJ19" s="179"/>
      <c r="CK19" s="144"/>
      <c r="CL19" s="179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customFormat="false" ht="13.5" hidden="false" customHeight="true" outlineLevel="0" collapsed="false">
      <c r="A20" s="85"/>
      <c r="B20" s="180" t="s">
        <v>78</v>
      </c>
      <c r="C20" s="180"/>
      <c r="D20" s="180"/>
      <c r="E20" s="147" t="n">
        <f aca="false">SUM(E18:E19)</f>
        <v>0</v>
      </c>
      <c r="F20" s="181" t="str">
        <f aca="false">IF($G$29=0,"",E20/$G$29)</f>
        <v/>
      </c>
      <c r="G20" s="147" t="n">
        <f aca="false">SUM(G18:G19)</f>
        <v>0</v>
      </c>
      <c r="H20" s="181" t="str">
        <f aca="false">IF($G$29=0,"",G20/$G$29)</f>
        <v/>
      </c>
      <c r="I20" s="147" t="n">
        <f aca="false">SUM(I18:I19)</f>
        <v>0</v>
      </c>
      <c r="J20" s="181" t="str">
        <f aca="false">IF($G$29=0,"",I20/$G$29)</f>
        <v/>
      </c>
      <c r="K20" s="147" t="n">
        <f aca="false">SUM(K18:K19)</f>
        <v>0</v>
      </c>
      <c r="L20" s="181" t="str">
        <f aca="false">IF($G$29=0,"",K20/$G$29)</f>
        <v/>
      </c>
      <c r="M20" s="147" t="n">
        <f aca="false">SUM(M18:M19)</f>
        <v>0</v>
      </c>
      <c r="N20" s="181" t="str">
        <f aca="false">IF($G$29=0,"",M20/$G$29)</f>
        <v/>
      </c>
      <c r="O20" s="147" t="n">
        <f aca="false">SUM(O18:O19)</f>
        <v>0</v>
      </c>
      <c r="P20" s="181" t="str">
        <f aca="false">IF($G$29=0,"",O20/$G$29)</f>
        <v/>
      </c>
      <c r="Q20" s="147" t="n">
        <f aca="false">SUM(Q18:Q19)</f>
        <v>0</v>
      </c>
      <c r="R20" s="181" t="str">
        <f aca="false">IF($G$29=0,"",Q20/$G$29)</f>
        <v/>
      </c>
      <c r="S20" s="147" t="n">
        <f aca="false">SUM(S18:S19)</f>
        <v>0</v>
      </c>
      <c r="T20" s="182" t="str">
        <f aca="false">IF($G$29=0,"",S20/$G$29)</f>
        <v/>
      </c>
      <c r="U20" s="144"/>
      <c r="V20" s="179"/>
      <c r="W20" s="144"/>
      <c r="X20" s="179"/>
      <c r="Y20" s="144"/>
      <c r="Z20" s="179"/>
      <c r="AA20" s="144"/>
      <c r="AB20" s="179"/>
      <c r="AC20" s="144"/>
      <c r="AD20" s="179"/>
      <c r="AE20" s="144"/>
      <c r="AF20" s="179"/>
      <c r="AG20" s="144"/>
      <c r="AH20" s="179"/>
      <c r="AI20" s="144"/>
      <c r="AJ20" s="179"/>
      <c r="AK20" s="144"/>
      <c r="AL20" s="179"/>
      <c r="AM20" s="144"/>
      <c r="AN20" s="179"/>
      <c r="AO20" s="144"/>
      <c r="AP20" s="179"/>
      <c r="AQ20" s="144"/>
      <c r="AR20" s="179"/>
      <c r="AS20" s="144"/>
      <c r="AT20" s="179"/>
      <c r="AU20" s="144"/>
      <c r="AV20" s="179"/>
      <c r="AW20" s="144"/>
      <c r="AX20" s="179"/>
      <c r="AY20" s="144"/>
      <c r="AZ20" s="179"/>
      <c r="BA20" s="144"/>
      <c r="BB20" s="179"/>
      <c r="BC20" s="144"/>
      <c r="BD20" s="179"/>
      <c r="BE20" s="144"/>
      <c r="BF20" s="179"/>
      <c r="BG20" s="144"/>
      <c r="BH20" s="179"/>
      <c r="BI20" s="144"/>
      <c r="BJ20" s="179"/>
      <c r="BK20" s="144"/>
      <c r="BL20" s="179"/>
      <c r="BM20" s="144"/>
      <c r="BN20" s="179"/>
      <c r="BO20" s="144"/>
      <c r="BP20" s="179"/>
      <c r="BQ20" s="144"/>
      <c r="BR20" s="179"/>
      <c r="BS20" s="144"/>
      <c r="BT20" s="179"/>
      <c r="BU20" s="144"/>
      <c r="BV20" s="179"/>
      <c r="BW20" s="144"/>
      <c r="BX20" s="179"/>
      <c r="BY20" s="144"/>
      <c r="BZ20" s="179"/>
      <c r="CA20" s="144"/>
      <c r="CB20" s="179"/>
      <c r="CC20" s="144"/>
      <c r="CD20" s="179"/>
      <c r="CE20" s="144"/>
      <c r="CF20" s="179"/>
      <c r="CG20" s="144"/>
      <c r="CH20" s="179"/>
      <c r="CI20" s="144"/>
      <c r="CJ20" s="179"/>
      <c r="CK20" s="144"/>
      <c r="CL20" s="179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customFormat="false" ht="15.75" hidden="false" customHeight="true" outlineLevel="0" collapsed="false">
      <c r="A21" s="125"/>
      <c r="B21" s="183" t="s">
        <v>72</v>
      </c>
      <c r="C21" s="183"/>
      <c r="D21" s="183"/>
      <c r="E21" s="184"/>
      <c r="F21" s="185" t="str">
        <f aca="false">IF(OR(F18="",F19=""),"",IF(OR(F18&gt;C38,F19&gt;C39),C37,IF(AND(F18&lt;=E38,F19&lt;=E39),E37,D37)))</f>
        <v/>
      </c>
      <c r="G21" s="184"/>
      <c r="H21" s="186" t="str">
        <f aca="false">IF(OR(H18="",H19=""),"",IF(OR(H18&gt;$C$38,H19&gt;$C$39),$C$37,IF(AND(H18&lt;=$E$38,H19&lt;=$E$39),$E$37,$D$37)))</f>
        <v/>
      </c>
      <c r="I21" s="184"/>
      <c r="J21" s="186" t="str">
        <f aca="false">IF(OR(J18="",J19=""),"",IF(OR(J18&gt;$C$38,J19&gt;$C$39),$C$37,IF(AND(J18&lt;=$E$38,J19&lt;=$E$39),$E$37,$D$37)))</f>
        <v/>
      </c>
      <c r="K21" s="184"/>
      <c r="L21" s="186" t="str">
        <f aca="false">IF(OR(L18="",L19=""),"",IF(OR(L18&gt;$C$38,L19&gt;$C$39),$C$37,IF(AND(L18&lt;=$E$38,L19&lt;=$E$39),$E$37,$D$37)))</f>
        <v/>
      </c>
      <c r="M21" s="184"/>
      <c r="N21" s="186" t="str">
        <f aca="false">IF(OR(N18="",N19=""),"",IF(OR(N18&gt;$C$38,N19&gt;$C$39),$C$37,IF(AND(N18&lt;=$E$38,N19&lt;=$E$39),$E$37,$D$37)))</f>
        <v/>
      </c>
      <c r="O21" s="184"/>
      <c r="P21" s="186" t="str">
        <f aca="false">IF(OR(P18="",P19=""),"",IF(OR(P18&gt;$C$38,P19&gt;$C$39),$C$37,IF(AND(P18&lt;=$E$38,P19&lt;=$E$39),$E$37,$D$37)))</f>
        <v/>
      </c>
      <c r="Q21" s="184"/>
      <c r="R21" s="186" t="str">
        <f aca="false">IF(OR(R18="",R19=""),"",IF(OR(R18&gt;$C$38,R19&gt;$C$39),$C$37,IF(AND(R18&lt;=$E$38,R19&lt;=$E$39),$E$37,$D$37)))</f>
        <v/>
      </c>
      <c r="S21" s="184"/>
      <c r="T21" s="187" t="str">
        <f aca="false">IF(OR(T18="",T19=""),"",IF(OR(T18&gt;$C$38,T19&gt;$C$39),$C$37,IF(AND(T18&lt;=$E$38,T19&lt;=$E$39),$E$37,$D$37)))</f>
        <v/>
      </c>
      <c r="U21" s="2"/>
      <c r="V21" s="158"/>
      <c r="W21" s="2"/>
      <c r="X21" s="158"/>
      <c r="Y21" s="2"/>
      <c r="Z21" s="158"/>
      <c r="AA21" s="2"/>
      <c r="AB21" s="158"/>
      <c r="AC21" s="2"/>
      <c r="AD21" s="158"/>
      <c r="AE21" s="2"/>
      <c r="AF21" s="158"/>
      <c r="AG21" s="2"/>
      <c r="AH21" s="158"/>
      <c r="AI21" s="2"/>
      <c r="AJ21" s="158"/>
      <c r="AK21" s="2"/>
      <c r="AL21" s="158"/>
      <c r="AM21" s="2"/>
      <c r="AN21" s="158"/>
      <c r="AO21" s="2"/>
      <c r="AP21" s="158"/>
      <c r="AQ21" s="2"/>
      <c r="AR21" s="158"/>
      <c r="AS21" s="2"/>
      <c r="AT21" s="158"/>
      <c r="AU21" s="2"/>
      <c r="AV21" s="158"/>
      <c r="AW21" s="2"/>
      <c r="AX21" s="158"/>
      <c r="AY21" s="2"/>
      <c r="AZ21" s="158"/>
      <c r="BA21" s="2"/>
      <c r="BB21" s="158"/>
      <c r="BC21" s="2"/>
      <c r="BD21" s="158"/>
      <c r="BE21" s="2"/>
      <c r="BF21" s="158"/>
      <c r="BG21" s="2"/>
      <c r="BH21" s="158"/>
      <c r="BI21" s="2"/>
      <c r="BJ21" s="158"/>
      <c r="BK21" s="2"/>
      <c r="BL21" s="158"/>
      <c r="BM21" s="2"/>
      <c r="BN21" s="158"/>
      <c r="BO21" s="2"/>
      <c r="BP21" s="158"/>
      <c r="BQ21" s="2"/>
      <c r="BR21" s="158"/>
      <c r="BS21" s="2"/>
      <c r="BT21" s="158"/>
      <c r="BU21" s="2"/>
      <c r="BV21" s="158"/>
      <c r="BW21" s="2"/>
      <c r="BX21" s="158"/>
      <c r="BY21" s="2"/>
      <c r="BZ21" s="158"/>
      <c r="CA21" s="2"/>
      <c r="CB21" s="158"/>
      <c r="CC21" s="2"/>
      <c r="CD21" s="158"/>
      <c r="CE21" s="2"/>
      <c r="CF21" s="158"/>
      <c r="CG21" s="2"/>
      <c r="CH21" s="158"/>
      <c r="CI21" s="2"/>
      <c r="CJ21" s="158"/>
      <c r="CK21" s="2"/>
      <c r="CL21" s="158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customFormat="false" ht="7.5" hidden="false" customHeight="true" outlineLevel="0" collapsed="false">
      <c r="A22" s="85"/>
      <c r="B22" s="188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8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customFormat="false" ht="20.25" hidden="false" customHeight="true" outlineLevel="0" collapsed="false">
      <c r="A23" s="85"/>
      <c r="B23" s="189" t="s">
        <v>79</v>
      </c>
      <c r="C23" s="189"/>
      <c r="D23" s="189"/>
      <c r="E23" s="189"/>
      <c r="F23" s="189"/>
      <c r="G23" s="189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8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Y23" s="2"/>
      <c r="AZ23" s="2"/>
      <c r="BA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 customFormat="false" ht="20.25" hidden="false" customHeight="true" outlineLevel="0" collapsed="false">
      <c r="A24" s="125"/>
      <c r="B24" s="190" t="s">
        <v>80</v>
      </c>
      <c r="C24" s="191" t="e">
        <f aca="false">LARGE(E13:T13,1)</f>
        <v>#VALUE!</v>
      </c>
      <c r="D24" s="192" t="s">
        <v>81</v>
      </c>
      <c r="E24" s="192"/>
      <c r="F24" s="192"/>
      <c r="G24" s="193" t="n">
        <f aca="false">INDEX(Calculation!C13:C42, MATCH(MAX(Calculation!AE13:AE42), Calculation!AE13:AE42, 0))</f>
        <v>1</v>
      </c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94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1.75" hidden="false" customHeight="true" outlineLevel="0" collapsed="false">
      <c r="A25" s="85"/>
      <c r="B25" s="196" t="s">
        <v>82</v>
      </c>
      <c r="C25" s="197" t="e">
        <f aca="false">SMALL(E13:T13,1)</f>
        <v>#VALUE!</v>
      </c>
      <c r="D25" s="198"/>
      <c r="E25" s="198"/>
      <c r="F25" s="198"/>
      <c r="G25" s="199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1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23.25" hidden="false" customHeight="true" outlineLevel="0" collapsed="false">
      <c r="A26" s="125"/>
      <c r="B26" s="203" t="s">
        <v>83</v>
      </c>
      <c r="C26" s="204" t="n">
        <f aca="false">SUM(Calculation!AD13:AD42)</f>
        <v>0</v>
      </c>
      <c r="D26" s="198"/>
      <c r="E26" s="198"/>
      <c r="F26" s="198"/>
      <c r="G26" s="199"/>
      <c r="H26" s="200"/>
      <c r="I26" s="200"/>
      <c r="J26" s="205"/>
      <c r="K26" s="205"/>
      <c r="L26" s="206"/>
      <c r="M26" s="200"/>
      <c r="N26" s="200"/>
      <c r="O26" s="200"/>
      <c r="P26" s="200"/>
      <c r="Q26" s="200"/>
      <c r="R26" s="200"/>
      <c r="S26" s="200"/>
      <c r="T26" s="201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25.5" hidden="false" customHeight="true" outlineLevel="0" collapsed="false">
      <c r="A27" s="85"/>
      <c r="B27" s="203" t="s">
        <v>84</v>
      </c>
      <c r="C27" s="207" t="n">
        <f aca="false">SUM(Calculation!AC13:AC42)</f>
        <v>0</v>
      </c>
      <c r="D27" s="198"/>
      <c r="E27" s="198"/>
      <c r="F27" s="198"/>
      <c r="G27" s="199"/>
      <c r="H27" s="200"/>
      <c r="I27" s="200"/>
      <c r="J27" s="205"/>
      <c r="K27" s="205"/>
      <c r="L27" s="206"/>
      <c r="M27" s="200"/>
      <c r="N27" s="200"/>
      <c r="O27" s="200"/>
      <c r="P27" s="200"/>
      <c r="Q27" s="200"/>
      <c r="R27" s="200"/>
      <c r="S27" s="200"/>
      <c r="T27" s="201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23.25" hidden="false" customHeight="true" outlineLevel="0" collapsed="false">
      <c r="A28" s="85"/>
      <c r="B28" s="208" t="s">
        <v>85</v>
      </c>
      <c r="C28" s="208"/>
      <c r="D28" s="208"/>
      <c r="E28" s="209" t="str">
        <f aca="false">'Data Entry'!$D$7</f>
        <v>GOOD</v>
      </c>
      <c r="F28" s="210" t="str">
        <f aca="false">'Data Entry'!$D$8</f>
        <v>NO GOOD</v>
      </c>
      <c r="G28" s="211" t="s">
        <v>86</v>
      </c>
      <c r="H28" s="116"/>
      <c r="I28" s="116"/>
      <c r="J28" s="205"/>
      <c r="K28" s="205"/>
      <c r="L28" s="116"/>
      <c r="M28" s="116"/>
      <c r="N28" s="116"/>
      <c r="O28" s="116"/>
      <c r="P28" s="116"/>
      <c r="Q28" s="116"/>
      <c r="R28" s="116"/>
      <c r="S28" s="116"/>
      <c r="T28" s="118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customFormat="false" ht="13.5" hidden="false" customHeight="true" outlineLevel="0" collapsed="false">
      <c r="A29" s="85"/>
      <c r="B29" s="208"/>
      <c r="C29" s="208"/>
      <c r="D29" s="208"/>
      <c r="E29" s="212" t="n">
        <f aca="false">COUNTIF('Data Entry'!E13:AB42,'Statistical Report'!E28)</f>
        <v>0</v>
      </c>
      <c r="F29" s="213" t="n">
        <f aca="false">COUNTIF('Data Entry'!E13:AB42,'Statistical Report'!F28)</f>
        <v>0</v>
      </c>
      <c r="G29" s="214" t="n">
        <f aca="false">E29+F29</f>
        <v>0</v>
      </c>
      <c r="H29" s="116"/>
      <c r="I29" s="116"/>
      <c r="J29" s="205"/>
      <c r="K29" s="205"/>
      <c r="L29" s="116"/>
      <c r="M29" s="116"/>
      <c r="N29" s="116"/>
      <c r="O29" s="116"/>
      <c r="P29" s="116"/>
      <c r="Q29" s="116"/>
      <c r="R29" s="116"/>
      <c r="S29" s="116"/>
      <c r="T29" s="118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customFormat="false" ht="13.5" hidden="false" customHeight="true" outlineLevel="0" collapsed="false">
      <c r="A30" s="85"/>
      <c r="B30" s="215"/>
      <c r="C30" s="205"/>
      <c r="D30" s="205"/>
      <c r="E30" s="205"/>
      <c r="F30" s="116"/>
      <c r="G30" s="116"/>
      <c r="H30" s="116"/>
      <c r="I30" s="116"/>
      <c r="J30" s="116"/>
      <c r="K30" s="205"/>
      <c r="L30" s="205"/>
      <c r="M30" s="205"/>
      <c r="N30" s="116"/>
      <c r="O30" s="116"/>
      <c r="P30" s="116"/>
      <c r="Q30" s="116"/>
      <c r="R30" s="116"/>
      <c r="S30" s="116"/>
      <c r="T30" s="118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customFormat="false" ht="12.75" hidden="false" customHeight="true" outlineLevel="0" collapsed="false">
      <c r="A31" s="85"/>
      <c r="B31" s="188"/>
      <c r="C31" s="116"/>
      <c r="D31" s="116"/>
      <c r="E31" s="116"/>
      <c r="F31" s="116"/>
      <c r="G31" s="116"/>
      <c r="H31" s="116"/>
      <c r="I31" s="116"/>
      <c r="J31" s="116"/>
      <c r="K31" s="205"/>
      <c r="L31" s="205"/>
      <c r="M31" s="205"/>
      <c r="N31" s="116"/>
      <c r="O31" s="116"/>
      <c r="P31" s="116"/>
      <c r="Q31" s="116"/>
      <c r="R31" s="116"/>
      <c r="S31" s="116"/>
      <c r="T31" s="118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customFormat="false" ht="12.75" hidden="false" customHeight="true" outlineLevel="0" collapsed="false">
      <c r="A32" s="85"/>
      <c r="B32" s="164"/>
      <c r="C32" s="216"/>
      <c r="D32" s="216"/>
      <c r="E32" s="216"/>
      <c r="F32" s="116"/>
      <c r="G32" s="116"/>
      <c r="H32" s="116"/>
      <c r="I32" s="116"/>
      <c r="J32" s="116"/>
      <c r="K32" s="205"/>
      <c r="L32" s="116"/>
      <c r="M32" s="116"/>
      <c r="N32" s="116"/>
      <c r="O32" s="116"/>
      <c r="P32" s="116"/>
      <c r="Q32" s="116"/>
      <c r="R32" s="116"/>
      <c r="S32" s="116"/>
      <c r="T32" s="118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customFormat="false" ht="12.75" hidden="false" customHeight="true" outlineLevel="0" collapsed="false">
      <c r="A33" s="85"/>
      <c r="B33" s="164"/>
      <c r="C33" s="217"/>
      <c r="D33" s="217"/>
      <c r="E33" s="217"/>
      <c r="F33" s="116"/>
      <c r="G33" s="116"/>
      <c r="H33" s="116"/>
      <c r="I33" s="116"/>
      <c r="J33" s="116"/>
      <c r="K33" s="205"/>
      <c r="L33" s="116"/>
      <c r="M33" s="116"/>
      <c r="N33" s="116"/>
      <c r="O33" s="116"/>
      <c r="P33" s="116"/>
      <c r="Q33" s="116"/>
      <c r="R33" s="116"/>
      <c r="S33" s="116"/>
      <c r="T33" s="118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customFormat="false" ht="12.75" hidden="false" customHeight="true" outlineLevel="0" collapsed="false">
      <c r="A34" s="85"/>
      <c r="B34" s="188"/>
      <c r="C34" s="218"/>
      <c r="D34" s="218"/>
      <c r="E34" s="218"/>
      <c r="F34" s="116"/>
      <c r="G34" s="116"/>
      <c r="H34" s="116"/>
      <c r="I34" s="116"/>
      <c r="J34" s="116"/>
      <c r="K34" s="205"/>
      <c r="L34" s="116"/>
      <c r="M34" s="116"/>
      <c r="N34" s="116"/>
      <c r="O34" s="116"/>
      <c r="P34" s="116"/>
      <c r="Q34" s="116"/>
      <c r="R34" s="116"/>
      <c r="S34" s="116"/>
      <c r="T34" s="118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customFormat="false" ht="7.5" hidden="false" customHeight="true" outlineLevel="0" collapsed="false">
      <c r="A35" s="85"/>
      <c r="B35" s="188"/>
      <c r="C35" s="116"/>
      <c r="D35" s="116"/>
      <c r="E35" s="116"/>
      <c r="F35" s="116"/>
      <c r="G35" s="116"/>
      <c r="H35" s="116"/>
      <c r="I35" s="116"/>
      <c r="J35" s="116"/>
      <c r="K35" s="205"/>
      <c r="L35" s="116"/>
      <c r="M35" s="116"/>
      <c r="N35" s="116"/>
      <c r="O35" s="116"/>
      <c r="P35" s="205"/>
      <c r="Q35" s="205"/>
      <c r="R35" s="205"/>
      <c r="S35" s="205"/>
      <c r="T35" s="118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customFormat="false" ht="15.75" hidden="false" customHeight="true" outlineLevel="0" collapsed="false">
      <c r="A36" s="219"/>
      <c r="B36" s="220" t="s">
        <v>87</v>
      </c>
      <c r="C36" s="221"/>
      <c r="D36" s="221"/>
      <c r="E36" s="221"/>
      <c r="F36" s="222" t="s">
        <v>88</v>
      </c>
      <c r="G36" s="109"/>
      <c r="H36" s="109"/>
      <c r="I36" s="109"/>
      <c r="J36" s="113"/>
      <c r="K36" s="205"/>
      <c r="L36" s="205"/>
      <c r="M36" s="205"/>
      <c r="N36" s="205"/>
      <c r="O36" s="205"/>
      <c r="P36" s="205"/>
      <c r="Q36" s="205"/>
      <c r="R36" s="205"/>
      <c r="S36" s="205"/>
      <c r="T36" s="118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customFormat="false" ht="12.75" hidden="false" customHeight="true" outlineLevel="0" collapsed="false">
      <c r="A37" s="85"/>
      <c r="B37" s="223"/>
      <c r="C37" s="224" t="s">
        <v>89</v>
      </c>
      <c r="D37" s="225" t="s">
        <v>90</v>
      </c>
      <c r="E37" s="226" t="s">
        <v>91</v>
      </c>
      <c r="F37" s="227" t="s">
        <v>92</v>
      </c>
      <c r="G37" s="228"/>
      <c r="H37" s="116"/>
      <c r="I37" s="116"/>
      <c r="J37" s="118"/>
      <c r="K37" s="205"/>
      <c r="L37" s="205"/>
      <c r="M37" s="205"/>
      <c r="N37" s="205"/>
      <c r="O37" s="205"/>
      <c r="P37" s="205"/>
      <c r="Q37" s="205"/>
      <c r="R37" s="205"/>
      <c r="S37" s="205"/>
      <c r="T37" s="118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customFormat="false" ht="12.75" hidden="false" customHeight="true" outlineLevel="0" collapsed="false">
      <c r="A38" s="85"/>
      <c r="B38" s="229" t="s">
        <v>93</v>
      </c>
      <c r="C38" s="230" t="n">
        <v>0.1</v>
      </c>
      <c r="D38" s="231" t="str">
        <f aca="false">E38*100&amp;"% - "&amp;C38*100&amp;"%"</f>
        <v>5% - 10%</v>
      </c>
      <c r="E38" s="232" t="n">
        <v>0.05</v>
      </c>
      <c r="F38" s="233" t="s">
        <v>94</v>
      </c>
      <c r="G38" s="228"/>
      <c r="H38" s="116"/>
      <c r="I38" s="116"/>
      <c r="J38" s="118"/>
      <c r="K38" s="205"/>
      <c r="L38" s="205"/>
      <c r="M38" s="205"/>
      <c r="N38" s="205"/>
      <c r="O38" s="205"/>
      <c r="P38" s="205"/>
      <c r="Q38" s="205"/>
      <c r="R38" s="205"/>
      <c r="S38" s="205"/>
      <c r="T38" s="118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customFormat="false" ht="12.75" hidden="false" customHeight="true" outlineLevel="0" collapsed="false">
      <c r="A39" s="85"/>
      <c r="B39" s="180" t="s">
        <v>95</v>
      </c>
      <c r="C39" s="230" t="n">
        <v>0.05</v>
      </c>
      <c r="D39" s="231" t="str">
        <f aca="false">E39*100&amp;"% - "&amp;C39*100&amp;"%"</f>
        <v>2% - 5%</v>
      </c>
      <c r="E39" s="232" t="n">
        <v>0.02</v>
      </c>
      <c r="F39" s="233" t="s">
        <v>96</v>
      </c>
      <c r="G39" s="228"/>
      <c r="H39" s="116"/>
      <c r="I39" s="116"/>
      <c r="J39" s="118"/>
      <c r="K39" s="205"/>
      <c r="L39" s="205"/>
      <c r="M39" s="205"/>
      <c r="N39" s="205"/>
      <c r="O39" s="205"/>
      <c r="P39" s="205"/>
      <c r="Q39" s="205"/>
      <c r="R39" s="205"/>
      <c r="S39" s="205"/>
      <c r="T39" s="118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customFormat="false" ht="12.75" hidden="false" customHeight="true" outlineLevel="0" collapsed="false">
      <c r="A40" s="85"/>
      <c r="B40" s="180" t="s">
        <v>97</v>
      </c>
      <c r="C40" s="234" t="n">
        <v>0.8</v>
      </c>
      <c r="D40" s="231" t="str">
        <f aca="false">C40*100&amp;"% - "&amp;E40*100&amp;"%"</f>
        <v>80% - 90%</v>
      </c>
      <c r="E40" s="235" t="n">
        <v>0.9</v>
      </c>
      <c r="F40" s="236" t="s">
        <v>98</v>
      </c>
      <c r="G40" s="237"/>
      <c r="H40" s="237"/>
      <c r="I40" s="237"/>
      <c r="J40" s="238"/>
      <c r="K40" s="205"/>
      <c r="L40" s="205"/>
      <c r="M40" s="205"/>
      <c r="N40" s="205"/>
      <c r="O40" s="205"/>
      <c r="P40" s="116"/>
      <c r="Q40" s="116"/>
      <c r="R40" s="116"/>
      <c r="S40" s="116"/>
      <c r="T40" s="118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customFormat="false" ht="13.5" hidden="false" customHeight="true" outlineLevel="0" collapsed="false">
      <c r="A41" s="85"/>
      <c r="B41" s="239" t="s">
        <v>99</v>
      </c>
      <c r="C41" s="240" t="n">
        <v>0.4</v>
      </c>
      <c r="D41" s="241" t="str">
        <f aca="false">C41&amp;" - "&amp;E41</f>
        <v>0,4 - 0,75</v>
      </c>
      <c r="E41" s="242" t="n">
        <v>0.75</v>
      </c>
      <c r="F41" s="243"/>
      <c r="G41" s="244"/>
      <c r="H41" s="244"/>
      <c r="I41" s="244"/>
      <c r="J41" s="245"/>
      <c r="K41" s="205"/>
      <c r="L41" s="205"/>
      <c r="M41" s="205"/>
      <c r="N41" s="205"/>
      <c r="O41" s="205"/>
      <c r="P41" s="116"/>
      <c r="Q41" s="116"/>
      <c r="R41" s="116"/>
      <c r="S41" s="116"/>
      <c r="T41" s="118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customFormat="false" ht="12.75" hidden="false" customHeight="true" outlineLevel="0" collapsed="false">
      <c r="A42" s="246"/>
      <c r="B42" s="247" t="s">
        <v>100</v>
      </c>
      <c r="C42" s="248"/>
      <c r="D42" s="248"/>
      <c r="E42" s="248"/>
      <c r="F42" s="249"/>
      <c r="G42" s="249"/>
      <c r="H42" s="249"/>
      <c r="I42" s="249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8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customFormat="false" ht="7.5" hidden="false" customHeight="true" outlineLevel="0" collapsed="false">
      <c r="A43" s="85"/>
      <c r="B43" s="188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8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customFormat="false" ht="27.75" hidden="false" customHeight="true" outlineLevel="0" collapsed="false">
      <c r="A44" s="219"/>
      <c r="B44" s="220" t="s">
        <v>101</v>
      </c>
      <c r="C44" s="250" t="str">
        <f aca="false">IF(COUNTIF(C15:CL21,C37)&gt;0,C37,IF(COUNTIF(C15:CL21,D37)&gt;0,D37,E37))</f>
        <v>Accept</v>
      </c>
      <c r="D44" s="250"/>
      <c r="E44" s="221"/>
      <c r="F44" s="221"/>
      <c r="G44" s="221"/>
      <c r="H44" s="221"/>
      <c r="I44" s="221"/>
      <c r="J44" s="251"/>
      <c r="K44" s="116"/>
      <c r="L44" s="116"/>
      <c r="M44" s="116"/>
      <c r="N44" s="116"/>
      <c r="O44" s="116"/>
      <c r="P44" s="116"/>
      <c r="Q44" s="116"/>
      <c r="R44" s="116"/>
      <c r="S44" s="116"/>
      <c r="T44" s="118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customFormat="false" ht="12.75" hidden="false" customHeight="true" outlineLevel="0" collapsed="false">
      <c r="A45" s="125"/>
      <c r="B45" s="252" t="s">
        <v>102</v>
      </c>
      <c r="C45" s="109"/>
      <c r="D45" s="109"/>
      <c r="E45" s="109"/>
      <c r="F45" s="109"/>
      <c r="G45" s="109"/>
      <c r="H45" s="109"/>
      <c r="I45" s="109"/>
      <c r="J45" s="113"/>
      <c r="K45" s="116"/>
      <c r="L45" s="116"/>
      <c r="M45" s="116"/>
      <c r="N45" s="116"/>
      <c r="O45" s="116"/>
      <c r="P45" s="116"/>
      <c r="Q45" s="116"/>
      <c r="R45" s="116"/>
      <c r="S45" s="116"/>
      <c r="T45" s="118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customFormat="false" ht="15.75" hidden="false" customHeight="true" outlineLevel="0" collapsed="false">
      <c r="A46" s="85"/>
      <c r="B46" s="188"/>
      <c r="C46" s="116"/>
      <c r="D46" s="116"/>
      <c r="E46" s="116"/>
      <c r="F46" s="116"/>
      <c r="G46" s="116"/>
      <c r="H46" s="116"/>
      <c r="I46" s="116"/>
      <c r="J46" s="118"/>
      <c r="K46" s="116"/>
      <c r="L46" s="116"/>
      <c r="M46" s="116"/>
      <c r="N46" s="116"/>
      <c r="O46" s="116"/>
      <c r="P46" s="116"/>
      <c r="Q46" s="116"/>
      <c r="R46" s="116"/>
      <c r="S46" s="116"/>
      <c r="T46" s="118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customFormat="false" ht="15.75" hidden="false" customHeight="true" outlineLevel="0" collapsed="false">
      <c r="A47" s="85"/>
      <c r="B47" s="188"/>
      <c r="C47" s="116"/>
      <c r="D47" s="116"/>
      <c r="E47" s="116"/>
      <c r="F47" s="116"/>
      <c r="G47" s="116"/>
      <c r="H47" s="116"/>
      <c r="I47" s="116"/>
      <c r="J47" s="118"/>
      <c r="K47" s="116"/>
      <c r="L47" s="116"/>
      <c r="M47" s="116"/>
      <c r="N47" s="116"/>
      <c r="O47" s="116"/>
      <c r="P47" s="116"/>
      <c r="Q47" s="116"/>
      <c r="R47" s="116"/>
      <c r="S47" s="116"/>
      <c r="T47" s="118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customFormat="false" ht="15.75" hidden="false" customHeight="true" outlineLevel="0" collapsed="false">
      <c r="A48" s="85"/>
      <c r="B48" s="188"/>
      <c r="C48" s="116"/>
      <c r="D48" s="116"/>
      <c r="E48" s="116"/>
      <c r="F48" s="116"/>
      <c r="G48" s="116"/>
      <c r="H48" s="116"/>
      <c r="I48" s="116"/>
      <c r="J48" s="118"/>
      <c r="K48" s="116"/>
      <c r="L48" s="116"/>
      <c r="M48" s="116"/>
      <c r="N48" s="116"/>
      <c r="O48" s="116"/>
      <c r="P48" s="116"/>
      <c r="Q48" s="116"/>
      <c r="R48" s="116"/>
      <c r="S48" s="116"/>
      <c r="T48" s="118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customFormat="false" ht="15.75" hidden="false" customHeight="true" outlineLevel="0" collapsed="false">
      <c r="A49" s="85"/>
      <c r="B49" s="188"/>
      <c r="C49" s="116"/>
      <c r="D49" s="116"/>
      <c r="E49" s="116"/>
      <c r="F49" s="116"/>
      <c r="G49" s="116"/>
      <c r="H49" s="116"/>
      <c r="I49" s="116"/>
      <c r="J49" s="118"/>
      <c r="K49" s="116"/>
      <c r="L49" s="116"/>
      <c r="M49" s="116"/>
      <c r="N49" s="116"/>
      <c r="O49" s="116"/>
      <c r="P49" s="116"/>
      <c r="Q49" s="116"/>
      <c r="R49" s="116"/>
      <c r="S49" s="116"/>
      <c r="T49" s="118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customFormat="false" ht="12.75" hidden="false" customHeight="true" outlineLevel="0" collapsed="false">
      <c r="A50" s="85"/>
      <c r="B50" s="253" t="s">
        <v>103</v>
      </c>
      <c r="C50" s="109"/>
      <c r="D50" s="113"/>
      <c r="E50" s="253" t="s">
        <v>104</v>
      </c>
      <c r="F50" s="109"/>
      <c r="G50" s="113"/>
      <c r="H50" s="253" t="s">
        <v>105</v>
      </c>
      <c r="I50" s="109"/>
      <c r="J50" s="113"/>
      <c r="K50" s="116"/>
      <c r="L50" s="116"/>
      <c r="M50" s="116"/>
      <c r="N50" s="116"/>
      <c r="O50" s="116"/>
      <c r="P50" s="116"/>
      <c r="Q50" s="116"/>
      <c r="R50" s="116"/>
      <c r="S50" s="116"/>
      <c r="T50" s="118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customFormat="false" ht="26.25" hidden="false" customHeight="true" outlineLevel="0" collapsed="false">
      <c r="A51" s="85"/>
      <c r="B51" s="188"/>
      <c r="C51" s="116"/>
      <c r="D51" s="118"/>
      <c r="E51" s="188"/>
      <c r="F51" s="116"/>
      <c r="G51" s="118"/>
      <c r="H51" s="188"/>
      <c r="I51" s="116"/>
      <c r="J51" s="118"/>
      <c r="K51" s="116"/>
      <c r="L51" s="116"/>
      <c r="M51" s="116"/>
      <c r="N51" s="116"/>
      <c r="O51" s="116"/>
      <c r="P51" s="116"/>
      <c r="Q51" s="116"/>
      <c r="R51" s="116"/>
      <c r="S51" s="116"/>
      <c r="T51" s="118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customFormat="false" ht="12.75" hidden="false" customHeight="true" outlineLevel="0" collapsed="false">
      <c r="A52" s="85"/>
      <c r="B52" s="188"/>
      <c r="C52" s="116"/>
      <c r="D52" s="118"/>
      <c r="E52" s="188"/>
      <c r="F52" s="116"/>
      <c r="G52" s="118"/>
      <c r="H52" s="188"/>
      <c r="I52" s="116"/>
      <c r="J52" s="118"/>
      <c r="K52" s="116"/>
      <c r="L52" s="116"/>
      <c r="M52" s="116"/>
      <c r="N52" s="116"/>
      <c r="O52" s="116"/>
      <c r="P52" s="116"/>
      <c r="Q52" s="116"/>
      <c r="R52" s="116"/>
      <c r="S52" s="116"/>
      <c r="T52" s="118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customFormat="false" ht="13.5" hidden="false" customHeight="true" outlineLevel="0" collapsed="false">
      <c r="A53" s="85"/>
      <c r="B53" s="254" t="s">
        <v>106</v>
      </c>
      <c r="C53" s="255"/>
      <c r="D53" s="256" t="s">
        <v>107</v>
      </c>
      <c r="E53" s="254" t="s">
        <v>106</v>
      </c>
      <c r="F53" s="255"/>
      <c r="G53" s="256" t="s">
        <v>107</v>
      </c>
      <c r="H53" s="254" t="s">
        <v>106</v>
      </c>
      <c r="I53" s="255"/>
      <c r="J53" s="256" t="s">
        <v>107</v>
      </c>
      <c r="K53" s="257"/>
      <c r="L53" s="257"/>
      <c r="M53" s="257"/>
      <c r="N53" s="257"/>
      <c r="O53" s="257"/>
      <c r="P53" s="257"/>
      <c r="Q53" s="257"/>
      <c r="R53" s="257"/>
      <c r="S53" s="257"/>
      <c r="T53" s="258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customFormat="false" ht="12.75" hidden="false" customHeight="true" outlineLevel="0" collapsed="false">
      <c r="A54" s="8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customFormat="false" ht="12.75" hidden="false" customHeight="true" outlineLevel="0" collapsed="false">
      <c r="A55" s="8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customFormat="false" ht="12.75" hidden="false" customHeight="true" outlineLevel="0" collapsed="false">
      <c r="A56" s="8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customFormat="false" ht="12.75" hidden="false" customHeight="true" outlineLevel="0" collapsed="false">
      <c r="A57" s="8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customFormat="false" ht="12.75" hidden="false" customHeight="true" outlineLevel="0" collapsed="false">
      <c r="A58" s="8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customFormat="false" ht="12.75" hidden="false" customHeight="true" outlineLevel="0" collapsed="false">
      <c r="A59" s="8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customFormat="false" ht="12.75" hidden="false" customHeight="true" outlineLevel="0" collapsed="false">
      <c r="A60" s="8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customFormat="false" ht="12.75" hidden="false" customHeight="true" outlineLevel="0" collapsed="false">
      <c r="A61" s="8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customFormat="false" ht="12.75" hidden="false" customHeight="true" outlineLevel="0" collapsed="false">
      <c r="A62" s="8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customFormat="false" ht="12.75" hidden="false" customHeight="true" outlineLevel="0" collapsed="false">
      <c r="A63" s="8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customFormat="false" ht="12.75" hidden="false" customHeight="true" outlineLevel="0" collapsed="false">
      <c r="A64" s="8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customFormat="false" ht="12.75" hidden="false" customHeight="true" outlineLevel="0" collapsed="false">
      <c r="A65" s="8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customFormat="false" ht="12.75" hidden="false" customHeight="true" outlineLevel="0" collapsed="false">
      <c r="A66" s="8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customFormat="false" ht="12.75" hidden="false" customHeight="true" outlineLevel="0" collapsed="false">
      <c r="A67" s="8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customFormat="false" ht="12.75" hidden="false" customHeight="true" outlineLevel="0" collapsed="false">
      <c r="A68" s="8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customFormat="false" ht="12.75" hidden="false" customHeight="true" outlineLevel="0" collapsed="false">
      <c r="A69" s="8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customFormat="false" ht="12.75" hidden="false" customHeight="true" outlineLevel="0" collapsed="false">
      <c r="A70" s="8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customFormat="false" ht="12.75" hidden="false" customHeight="true" outlineLevel="0" collapsed="false">
      <c r="A71" s="8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customFormat="false" ht="12.75" hidden="false" customHeight="true" outlineLevel="0" collapsed="false">
      <c r="A72" s="8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customFormat="false" ht="12.75" hidden="false" customHeight="true" outlineLevel="0" collapsed="false">
      <c r="A73" s="8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customFormat="false" ht="12.75" hidden="false" customHeight="true" outlineLevel="0" collapsed="false">
      <c r="A74" s="8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customFormat="false" ht="12.75" hidden="false" customHeight="true" outlineLevel="0" collapsed="false">
      <c r="A75" s="8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customFormat="false" ht="12.75" hidden="false" customHeight="true" outlineLevel="0" collapsed="false">
      <c r="A76" s="8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customFormat="false" ht="12.75" hidden="false" customHeight="true" outlineLevel="0" collapsed="false">
      <c r="A77" s="8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customFormat="false" ht="12.75" hidden="false" customHeight="true" outlineLevel="0" collapsed="false">
      <c r="A78" s="8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customFormat="false" ht="12.75" hidden="false" customHeight="true" outlineLevel="0" collapsed="false">
      <c r="A79" s="8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customFormat="false" ht="12.75" hidden="false" customHeight="true" outlineLevel="0" collapsed="false">
      <c r="A80" s="8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customFormat="false" ht="12.75" hidden="false" customHeight="true" outlineLevel="0" collapsed="false">
      <c r="A81" s="8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customFormat="false" ht="12.75" hidden="false" customHeight="true" outlineLevel="0" collapsed="false">
      <c r="A82" s="8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customFormat="false" ht="12.75" hidden="false" customHeight="true" outlineLevel="0" collapsed="false">
      <c r="A83" s="8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customFormat="false" ht="12.75" hidden="false" customHeight="true" outlineLevel="0" collapsed="false">
      <c r="A84" s="8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customFormat="false" ht="12.75" hidden="false" customHeight="true" outlineLevel="0" collapsed="false">
      <c r="A85" s="8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customFormat="false" ht="12.75" hidden="false" customHeight="true" outlineLevel="0" collapsed="false">
      <c r="A86" s="8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customFormat="false" ht="12.75" hidden="false" customHeight="true" outlineLevel="0" collapsed="false">
      <c r="A87" s="8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customFormat="false" ht="12.75" hidden="false" customHeight="true" outlineLevel="0" collapsed="false">
      <c r="A88" s="8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customFormat="false" ht="12.75" hidden="false" customHeight="true" outlineLevel="0" collapsed="false">
      <c r="A89" s="8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customFormat="false" ht="12.75" hidden="false" customHeight="true" outlineLevel="0" collapsed="false">
      <c r="A90" s="8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customFormat="false" ht="12.75" hidden="false" customHeight="true" outlineLevel="0" collapsed="false">
      <c r="A91" s="8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customFormat="false" ht="12.75" hidden="false" customHeight="true" outlineLevel="0" collapsed="false">
      <c r="A92" s="8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customFormat="false" ht="12.75" hidden="false" customHeight="true" outlineLevel="0" collapsed="false">
      <c r="A93" s="8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customFormat="false" ht="12.75" hidden="false" customHeight="true" outlineLevel="0" collapsed="false">
      <c r="A94" s="8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customFormat="false" ht="12.75" hidden="false" customHeight="true" outlineLevel="0" collapsed="false">
      <c r="A95" s="8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customFormat="false" ht="12.75" hidden="false" customHeight="true" outlineLevel="0" collapsed="false">
      <c r="A96" s="8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customFormat="false" ht="12.75" hidden="false" customHeight="true" outlineLevel="0" collapsed="false">
      <c r="A97" s="8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customFormat="false" ht="12.75" hidden="false" customHeight="true" outlineLevel="0" collapsed="false">
      <c r="A98" s="8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customFormat="false" ht="12.75" hidden="false" customHeight="true" outlineLevel="0" collapsed="false">
      <c r="A99" s="8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customFormat="false" ht="12.75" hidden="false" customHeight="true" outlineLevel="0" collapsed="false">
      <c r="A100" s="8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customFormat="false" ht="12.75" hidden="false" customHeight="true" outlineLevel="0" collapsed="false">
      <c r="A101" s="8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customFormat="false" ht="12.75" hidden="false" customHeight="true" outlineLevel="0" collapsed="false">
      <c r="A102" s="8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customFormat="false" ht="12.75" hidden="false" customHeight="true" outlineLevel="0" collapsed="false">
      <c r="A103" s="8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customFormat="false" ht="12.75" hidden="false" customHeight="true" outlineLevel="0" collapsed="false">
      <c r="A104" s="8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customFormat="false" ht="12.75" hidden="false" customHeight="true" outlineLevel="0" collapsed="false">
      <c r="A105" s="8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customFormat="false" ht="12.75" hidden="false" customHeight="true" outlineLevel="0" collapsed="false">
      <c r="A106" s="8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customFormat="false" ht="12.75" hidden="false" customHeight="true" outlineLevel="0" collapsed="false">
      <c r="A107" s="8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customFormat="false" ht="12.75" hidden="false" customHeight="true" outlineLevel="0" collapsed="false">
      <c r="A108" s="8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customFormat="false" ht="12.75" hidden="false" customHeight="true" outlineLevel="0" collapsed="false">
      <c r="A109" s="8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customFormat="false" ht="12.75" hidden="false" customHeight="true" outlineLevel="0" collapsed="false">
      <c r="A110" s="8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customFormat="false" ht="12.75" hidden="false" customHeight="true" outlineLevel="0" collapsed="false">
      <c r="A111" s="8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customFormat="false" ht="12.75" hidden="false" customHeight="true" outlineLevel="0" collapsed="false">
      <c r="A112" s="8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customFormat="false" ht="12.75" hidden="false" customHeight="true" outlineLevel="0" collapsed="false">
      <c r="A113" s="8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customFormat="false" ht="12.75" hidden="false" customHeight="true" outlineLevel="0" collapsed="false">
      <c r="A114" s="8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customFormat="false" ht="12.75" hidden="false" customHeight="true" outlineLevel="0" collapsed="false">
      <c r="A115" s="8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customFormat="false" ht="12.75" hidden="false" customHeight="true" outlineLevel="0" collapsed="false">
      <c r="A116" s="8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customFormat="false" ht="12.75" hidden="false" customHeight="true" outlineLevel="0" collapsed="false">
      <c r="A117" s="8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customFormat="false" ht="12.75" hidden="false" customHeight="true" outlineLevel="0" collapsed="false">
      <c r="A118" s="8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customFormat="false" ht="12.75" hidden="false" customHeight="true" outlineLevel="0" collapsed="false">
      <c r="A119" s="8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customFormat="false" ht="12.75" hidden="false" customHeight="true" outlineLevel="0" collapsed="false">
      <c r="A120" s="8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customFormat="false" ht="12.75" hidden="false" customHeight="true" outlineLevel="0" collapsed="false">
      <c r="A121" s="8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customFormat="false" ht="12.75" hidden="false" customHeight="true" outlineLevel="0" collapsed="false">
      <c r="A122" s="8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customFormat="false" ht="12.75" hidden="false" customHeight="true" outlineLevel="0" collapsed="false">
      <c r="A123" s="8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customFormat="false" ht="12.75" hidden="false" customHeight="true" outlineLevel="0" collapsed="false">
      <c r="A124" s="8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customFormat="false" ht="12.75" hidden="false" customHeight="true" outlineLevel="0" collapsed="false">
      <c r="A125" s="8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customFormat="false" ht="12.75" hidden="false" customHeight="true" outlineLevel="0" collapsed="false">
      <c r="A126" s="8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customFormat="false" ht="12.75" hidden="false" customHeight="true" outlineLevel="0" collapsed="false">
      <c r="A127" s="8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customFormat="false" ht="12.75" hidden="false" customHeight="true" outlineLevel="0" collapsed="false">
      <c r="A128" s="8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customFormat="false" ht="12.75" hidden="false" customHeight="true" outlineLevel="0" collapsed="false">
      <c r="A129" s="8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customFormat="false" ht="12.75" hidden="false" customHeight="true" outlineLevel="0" collapsed="false">
      <c r="A130" s="8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customFormat="false" ht="12.75" hidden="false" customHeight="true" outlineLevel="0" collapsed="false">
      <c r="A131" s="8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customFormat="false" ht="12.75" hidden="false" customHeight="true" outlineLevel="0" collapsed="false">
      <c r="A132" s="8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customFormat="false" ht="12.75" hidden="false" customHeight="true" outlineLevel="0" collapsed="false">
      <c r="A133" s="8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customFormat="false" ht="12.75" hidden="false" customHeight="true" outlineLevel="0" collapsed="false">
      <c r="A134" s="8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customFormat="false" ht="12.75" hidden="false" customHeight="true" outlineLevel="0" collapsed="false">
      <c r="A135" s="8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customFormat="false" ht="12.75" hidden="false" customHeight="true" outlineLevel="0" collapsed="false">
      <c r="A136" s="8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customFormat="false" ht="12.75" hidden="false" customHeight="true" outlineLevel="0" collapsed="false">
      <c r="A137" s="8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customFormat="false" ht="12.75" hidden="false" customHeight="true" outlineLevel="0" collapsed="false">
      <c r="A138" s="8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customFormat="false" ht="12.75" hidden="false" customHeight="true" outlineLevel="0" collapsed="false">
      <c r="A139" s="8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customFormat="false" ht="12.75" hidden="false" customHeight="true" outlineLevel="0" collapsed="false">
      <c r="A140" s="8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customFormat="false" ht="12.75" hidden="false" customHeight="true" outlineLevel="0" collapsed="false">
      <c r="A141" s="8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customFormat="false" ht="12.75" hidden="false" customHeight="true" outlineLevel="0" collapsed="false">
      <c r="A142" s="8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customFormat="false" ht="12.75" hidden="false" customHeight="true" outlineLevel="0" collapsed="false">
      <c r="A143" s="8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customFormat="false" ht="12.75" hidden="false" customHeight="true" outlineLevel="0" collapsed="false">
      <c r="A144" s="8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customFormat="false" ht="12.75" hidden="false" customHeight="true" outlineLevel="0" collapsed="false">
      <c r="A145" s="8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customFormat="false" ht="12.75" hidden="false" customHeight="true" outlineLevel="0" collapsed="false">
      <c r="A146" s="8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customFormat="false" ht="12.75" hidden="false" customHeight="true" outlineLevel="0" collapsed="false">
      <c r="A147" s="8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customFormat="false" ht="12.75" hidden="false" customHeight="true" outlineLevel="0" collapsed="false">
      <c r="A148" s="8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customFormat="false" ht="12.75" hidden="false" customHeight="true" outlineLevel="0" collapsed="false">
      <c r="A149" s="8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customFormat="false" ht="12.75" hidden="false" customHeight="true" outlineLevel="0" collapsed="false">
      <c r="A150" s="8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customFormat="false" ht="12.75" hidden="false" customHeight="true" outlineLevel="0" collapsed="false">
      <c r="A151" s="8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customFormat="false" ht="12.75" hidden="false" customHeight="true" outlineLevel="0" collapsed="false">
      <c r="A152" s="8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customFormat="false" ht="12.75" hidden="false" customHeight="true" outlineLevel="0" collapsed="false">
      <c r="A153" s="8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customFormat="false" ht="12.75" hidden="false" customHeight="true" outlineLevel="0" collapsed="false">
      <c r="A154" s="8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customFormat="false" ht="12.75" hidden="false" customHeight="true" outlineLevel="0" collapsed="false">
      <c r="A155" s="8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customFormat="false" ht="12.75" hidden="false" customHeight="true" outlineLevel="0" collapsed="false">
      <c r="A156" s="8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customFormat="false" ht="12.75" hidden="false" customHeight="true" outlineLevel="0" collapsed="false">
      <c r="A157" s="8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customFormat="false" ht="12.75" hidden="false" customHeight="true" outlineLevel="0" collapsed="false">
      <c r="A158" s="8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customFormat="false" ht="12.75" hidden="false" customHeight="true" outlineLevel="0" collapsed="false">
      <c r="A159" s="8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customFormat="false" ht="12.75" hidden="false" customHeight="true" outlineLevel="0" collapsed="false">
      <c r="A160" s="8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customFormat="false" ht="12.75" hidden="false" customHeight="true" outlineLevel="0" collapsed="false">
      <c r="A161" s="8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customFormat="false" ht="12.75" hidden="false" customHeight="true" outlineLevel="0" collapsed="false">
      <c r="A162" s="8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customFormat="false" ht="12.75" hidden="false" customHeight="true" outlineLevel="0" collapsed="false">
      <c r="A163" s="8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customFormat="false" ht="12.75" hidden="false" customHeight="true" outlineLevel="0" collapsed="false">
      <c r="A164" s="8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customFormat="false" ht="12.75" hidden="false" customHeight="true" outlineLevel="0" collapsed="false">
      <c r="A165" s="8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customFormat="false" ht="12.75" hidden="false" customHeight="true" outlineLevel="0" collapsed="false">
      <c r="A166" s="8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customFormat="false" ht="12.75" hidden="false" customHeight="true" outlineLevel="0" collapsed="false">
      <c r="A167" s="8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customFormat="false" ht="12.75" hidden="false" customHeight="true" outlineLevel="0" collapsed="false">
      <c r="A168" s="8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customFormat="false" ht="12.75" hidden="false" customHeight="true" outlineLevel="0" collapsed="false">
      <c r="A169" s="8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customFormat="false" ht="12.75" hidden="false" customHeight="true" outlineLevel="0" collapsed="false">
      <c r="A170" s="8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customFormat="false" ht="12.75" hidden="false" customHeight="true" outlineLevel="0" collapsed="false">
      <c r="A171" s="8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customFormat="false" ht="12.75" hidden="false" customHeight="true" outlineLevel="0" collapsed="false">
      <c r="A172" s="8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customFormat="false" ht="12.75" hidden="false" customHeight="true" outlineLevel="0" collapsed="false">
      <c r="A173" s="8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customFormat="false" ht="12.75" hidden="false" customHeight="true" outlineLevel="0" collapsed="false">
      <c r="A174" s="8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customFormat="false" ht="12.75" hidden="false" customHeight="true" outlineLevel="0" collapsed="false">
      <c r="A175" s="8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customFormat="false" ht="12.75" hidden="false" customHeight="true" outlineLevel="0" collapsed="false">
      <c r="A176" s="8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customFormat="false" ht="12.75" hidden="false" customHeight="true" outlineLevel="0" collapsed="false">
      <c r="A177" s="8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customFormat="false" ht="12.75" hidden="false" customHeight="true" outlineLevel="0" collapsed="false">
      <c r="A178" s="8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customFormat="false" ht="12.75" hidden="false" customHeight="true" outlineLevel="0" collapsed="false">
      <c r="A179" s="8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customFormat="false" ht="12.75" hidden="false" customHeight="true" outlineLevel="0" collapsed="false">
      <c r="A180" s="8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customFormat="false" ht="12.75" hidden="false" customHeight="true" outlineLevel="0" collapsed="false">
      <c r="A181" s="8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customFormat="false" ht="12.75" hidden="false" customHeight="true" outlineLevel="0" collapsed="false">
      <c r="A182" s="8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customFormat="false" ht="12.75" hidden="false" customHeight="true" outlineLevel="0" collapsed="false">
      <c r="A183" s="8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customFormat="false" ht="12.75" hidden="false" customHeight="true" outlineLevel="0" collapsed="false">
      <c r="A184" s="8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customFormat="false" ht="12.75" hidden="false" customHeight="true" outlineLevel="0" collapsed="false">
      <c r="A185" s="8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customFormat="false" ht="12.75" hidden="false" customHeight="true" outlineLevel="0" collapsed="false">
      <c r="A186" s="8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customFormat="false" ht="12.75" hidden="false" customHeight="true" outlineLevel="0" collapsed="false">
      <c r="A187" s="8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customFormat="false" ht="12.75" hidden="false" customHeight="true" outlineLevel="0" collapsed="false">
      <c r="A188" s="8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customFormat="false" ht="12.75" hidden="false" customHeight="true" outlineLevel="0" collapsed="false">
      <c r="A189" s="8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customFormat="false" ht="12.75" hidden="false" customHeight="true" outlineLevel="0" collapsed="false">
      <c r="A190" s="8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customFormat="false" ht="12.75" hidden="false" customHeight="true" outlineLevel="0" collapsed="false">
      <c r="A191" s="8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customFormat="false" ht="12.75" hidden="false" customHeight="true" outlineLevel="0" collapsed="false">
      <c r="A192" s="8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customFormat="false" ht="12.75" hidden="false" customHeight="true" outlineLevel="0" collapsed="false">
      <c r="A193" s="8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customFormat="false" ht="12.75" hidden="false" customHeight="true" outlineLevel="0" collapsed="false">
      <c r="A194" s="8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customFormat="false" ht="12.75" hidden="false" customHeight="true" outlineLevel="0" collapsed="false">
      <c r="A195" s="8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customFormat="false" ht="12.75" hidden="false" customHeight="true" outlineLevel="0" collapsed="false">
      <c r="A196" s="8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customFormat="false" ht="12.75" hidden="false" customHeight="true" outlineLevel="0" collapsed="false">
      <c r="A197" s="8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customFormat="false" ht="12.75" hidden="false" customHeight="true" outlineLevel="0" collapsed="false">
      <c r="A198" s="8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customFormat="false" ht="12.75" hidden="false" customHeight="true" outlineLevel="0" collapsed="false">
      <c r="A199" s="8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customFormat="false" ht="12.75" hidden="false" customHeight="true" outlineLevel="0" collapsed="false">
      <c r="A200" s="8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customFormat="false" ht="12.75" hidden="false" customHeight="true" outlineLevel="0" collapsed="false">
      <c r="A201" s="8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customFormat="false" ht="12.75" hidden="false" customHeight="true" outlineLevel="0" collapsed="false">
      <c r="A202" s="8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customFormat="false" ht="12.75" hidden="false" customHeight="true" outlineLevel="0" collapsed="false">
      <c r="A203" s="8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customFormat="false" ht="12.75" hidden="false" customHeight="true" outlineLevel="0" collapsed="false">
      <c r="A204" s="8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customFormat="false" ht="12.75" hidden="false" customHeight="true" outlineLevel="0" collapsed="false">
      <c r="A205" s="8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customFormat="false" ht="12.75" hidden="false" customHeight="true" outlineLevel="0" collapsed="false">
      <c r="A206" s="8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customFormat="false" ht="12.75" hidden="false" customHeight="true" outlineLevel="0" collapsed="false">
      <c r="A207" s="8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customFormat="false" ht="12.75" hidden="false" customHeight="true" outlineLevel="0" collapsed="false">
      <c r="A208" s="8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customFormat="false" ht="12.75" hidden="false" customHeight="true" outlineLevel="0" collapsed="false">
      <c r="A209" s="8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customFormat="false" ht="12.75" hidden="false" customHeight="true" outlineLevel="0" collapsed="false">
      <c r="A210" s="8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customFormat="false" ht="12.75" hidden="false" customHeight="true" outlineLevel="0" collapsed="false">
      <c r="A211" s="8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customFormat="false" ht="12.75" hidden="false" customHeight="true" outlineLevel="0" collapsed="false">
      <c r="A212" s="8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customFormat="false" ht="12.75" hidden="false" customHeight="true" outlineLevel="0" collapsed="false">
      <c r="A213" s="8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customFormat="false" ht="12.75" hidden="false" customHeight="true" outlineLevel="0" collapsed="false">
      <c r="A214" s="8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customFormat="false" ht="12.75" hidden="false" customHeight="true" outlineLevel="0" collapsed="false">
      <c r="A215" s="8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customFormat="false" ht="12.75" hidden="false" customHeight="true" outlineLevel="0" collapsed="false">
      <c r="A216" s="8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customFormat="false" ht="12.75" hidden="false" customHeight="true" outlineLevel="0" collapsed="false">
      <c r="A217" s="8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customFormat="false" ht="12.75" hidden="false" customHeight="true" outlineLevel="0" collapsed="false">
      <c r="A218" s="8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customFormat="false" ht="12.75" hidden="false" customHeight="true" outlineLevel="0" collapsed="false">
      <c r="A219" s="8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customFormat="false" ht="12.75" hidden="false" customHeight="true" outlineLevel="0" collapsed="false">
      <c r="A220" s="8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customFormat="false" ht="12.75" hidden="false" customHeight="true" outlineLevel="0" collapsed="false">
      <c r="A221" s="8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customFormat="false" ht="12.75" hidden="false" customHeight="true" outlineLevel="0" collapsed="false">
      <c r="A222" s="8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customFormat="false" ht="12.75" hidden="false" customHeight="true" outlineLevel="0" collapsed="false">
      <c r="A223" s="8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customFormat="false" ht="12.75" hidden="false" customHeight="true" outlineLevel="0" collapsed="false">
      <c r="A224" s="8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customFormat="false" ht="12.75" hidden="false" customHeight="true" outlineLevel="0" collapsed="false">
      <c r="A225" s="8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customFormat="false" ht="12.75" hidden="false" customHeight="true" outlineLevel="0" collapsed="false">
      <c r="A226" s="8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customFormat="false" ht="12.75" hidden="false" customHeight="true" outlineLevel="0" collapsed="false">
      <c r="A227" s="8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customFormat="false" ht="12.75" hidden="false" customHeight="true" outlineLevel="0" collapsed="false">
      <c r="A228" s="8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customFormat="false" ht="12.75" hidden="false" customHeight="true" outlineLevel="0" collapsed="false">
      <c r="A229" s="8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customFormat="false" ht="12.75" hidden="false" customHeight="true" outlineLevel="0" collapsed="false">
      <c r="A230" s="8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customFormat="false" ht="12.75" hidden="false" customHeight="true" outlineLevel="0" collapsed="false">
      <c r="A231" s="8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customFormat="false" ht="12.75" hidden="false" customHeight="true" outlineLevel="0" collapsed="false">
      <c r="A232" s="8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customFormat="false" ht="12.75" hidden="false" customHeight="true" outlineLevel="0" collapsed="false">
      <c r="A233" s="8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customFormat="false" ht="12.75" hidden="false" customHeight="true" outlineLevel="0" collapsed="false">
      <c r="A234" s="8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customFormat="false" ht="12.75" hidden="false" customHeight="true" outlineLevel="0" collapsed="false">
      <c r="A235" s="8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customFormat="false" ht="12.75" hidden="false" customHeight="true" outlineLevel="0" collapsed="false">
      <c r="A236" s="8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customFormat="false" ht="12.75" hidden="false" customHeight="true" outlineLevel="0" collapsed="false">
      <c r="A237" s="8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customFormat="false" ht="12.75" hidden="false" customHeight="true" outlineLevel="0" collapsed="false">
      <c r="A238" s="8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customFormat="false" ht="12.75" hidden="false" customHeight="true" outlineLevel="0" collapsed="false">
      <c r="A239" s="8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customFormat="false" ht="12.75" hidden="false" customHeight="true" outlineLevel="0" collapsed="false">
      <c r="A240" s="8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customFormat="false" ht="12.75" hidden="false" customHeight="true" outlineLevel="0" collapsed="false">
      <c r="A241" s="8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customFormat="false" ht="12.75" hidden="false" customHeight="true" outlineLevel="0" collapsed="false">
      <c r="A242" s="8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customFormat="false" ht="12.75" hidden="false" customHeight="true" outlineLevel="0" collapsed="false">
      <c r="A243" s="8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customFormat="false" ht="12.75" hidden="false" customHeight="true" outlineLevel="0" collapsed="false">
      <c r="A244" s="8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customFormat="false" ht="12.75" hidden="false" customHeight="true" outlineLevel="0" collapsed="false">
      <c r="A245" s="8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customFormat="false" ht="12.75" hidden="false" customHeight="true" outlineLevel="0" collapsed="false">
      <c r="A246" s="8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customFormat="false" ht="12.75" hidden="false" customHeight="true" outlineLevel="0" collapsed="false">
      <c r="A247" s="8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customFormat="false" ht="12.75" hidden="false" customHeight="true" outlineLevel="0" collapsed="false">
      <c r="A248" s="8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customFormat="false" ht="12.75" hidden="false" customHeight="true" outlineLevel="0" collapsed="false">
      <c r="A249" s="8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customFormat="false" ht="12.75" hidden="false" customHeight="true" outlineLevel="0" collapsed="false">
      <c r="A250" s="8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customFormat="false" ht="12.75" hidden="false" customHeight="true" outlineLevel="0" collapsed="false">
      <c r="A251" s="8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customFormat="false" ht="12.75" hidden="false" customHeight="true" outlineLevel="0" collapsed="false">
      <c r="A252" s="8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customFormat="false" ht="12.75" hidden="false" customHeight="true" outlineLevel="0" collapsed="false">
      <c r="A253" s="8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</sheetData>
  <mergeCells count="49">
    <mergeCell ref="B2:T2"/>
    <mergeCell ref="B3:C3"/>
    <mergeCell ref="G3:H3"/>
    <mergeCell ref="C5:D5"/>
    <mergeCell ref="G5:I5"/>
    <mergeCell ref="C6:D6"/>
    <mergeCell ref="G6:I6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B14:C14"/>
    <mergeCell ref="B17:D17"/>
    <mergeCell ref="B18:D18"/>
    <mergeCell ref="B19:D19"/>
    <mergeCell ref="B20:D20"/>
    <mergeCell ref="B21:D21"/>
    <mergeCell ref="B23:G23"/>
    <mergeCell ref="D24:F24"/>
    <mergeCell ref="D25:F25"/>
    <mergeCell ref="D26:F26"/>
    <mergeCell ref="D27:F27"/>
    <mergeCell ref="B28:D29"/>
    <mergeCell ref="C32:E32"/>
    <mergeCell ref="C33:E33"/>
    <mergeCell ref="C34:E34"/>
    <mergeCell ref="F42:I42"/>
    <mergeCell ref="C44:D44"/>
  </mergeCells>
  <conditionalFormatting sqref="C26">
    <cfRule type="cellIs" priority="2" operator="equal" aboveAverage="0" equalAverage="0" bottom="0" percent="0" rank="0" text="" dxfId="6">
      <formula>0</formula>
    </cfRule>
  </conditionalFormatting>
  <conditionalFormatting sqref="C26">
    <cfRule type="cellIs" priority="3" operator="greaterThan" aboveAverage="0" equalAverage="0" bottom="0" percent="0" rank="0" text="" dxfId="7">
      <formula>0</formula>
    </cfRule>
  </conditionalFormatting>
  <conditionalFormatting sqref="C34">
    <cfRule type="cellIs" priority="4" operator="equal" aboveAverage="0" equalAverage="0" bottom="0" percent="0" rank="0" text="" dxfId="8">
      <formula>$E$37</formula>
    </cfRule>
    <cfRule type="cellIs" priority="5" operator="equal" aboveAverage="0" equalAverage="0" bottom="0" percent="0" rank="0" text="" dxfId="9">
      <formula>$D$37</formula>
    </cfRule>
    <cfRule type="cellIs" priority="6" operator="equal" aboveAverage="0" equalAverage="0" bottom="0" percent="0" rank="0" text="" dxfId="10">
      <formula>$C$37</formula>
    </cfRule>
  </conditionalFormatting>
  <conditionalFormatting sqref="T20">
    <cfRule type="cellIs" priority="7" operator="lessThanOrEqual" aboveAverage="0" equalAverage="0" bottom="0" percent="0" rank="0" text="" dxfId="11">
      <formula>$E$38</formula>
    </cfRule>
    <cfRule type="cellIs" priority="8" operator="between" aboveAverage="0" equalAverage="0" bottom="0" percent="0" rank="0" text="" dxfId="12">
      <formula>$E$38</formula>
      <formula>$C$38</formula>
    </cfRule>
    <cfRule type="cellIs" priority="9" operator="greaterThan" aboveAverage="0" equalAverage="0" bottom="0" percent="0" rank="0" text="" dxfId="13">
      <formula>$C$38</formula>
    </cfRule>
  </conditionalFormatting>
  <conditionalFormatting sqref="R20">
    <cfRule type="cellIs" priority="10" operator="lessThanOrEqual" aboveAverage="0" equalAverage="0" bottom="0" percent="0" rank="0" text="" dxfId="14">
      <formula>$E$38</formula>
    </cfRule>
    <cfRule type="cellIs" priority="11" operator="between" aboveAverage="0" equalAverage="0" bottom="0" percent="0" rank="0" text="" dxfId="15">
      <formula>$E$38</formula>
      <formula>$C$38</formula>
    </cfRule>
    <cfRule type="cellIs" priority="12" operator="greaterThan" aboveAverage="0" equalAverage="0" bottom="0" percent="0" rank="0" text="" dxfId="16">
      <formula>$C$38</formula>
    </cfRule>
  </conditionalFormatting>
  <conditionalFormatting sqref="P20">
    <cfRule type="cellIs" priority="13" operator="lessThanOrEqual" aboveAverage="0" equalAverage="0" bottom="0" percent="0" rank="0" text="" dxfId="17">
      <formula>$E$38</formula>
    </cfRule>
    <cfRule type="cellIs" priority="14" operator="between" aboveAverage="0" equalAverage="0" bottom="0" percent="0" rank="0" text="" dxfId="18">
      <formula>$E$38</formula>
      <formula>$C$38</formula>
    </cfRule>
    <cfRule type="cellIs" priority="15" operator="greaterThan" aboveAverage="0" equalAverage="0" bottom="0" percent="0" rank="0" text="" dxfId="19">
      <formula>$C$38</formula>
    </cfRule>
  </conditionalFormatting>
  <conditionalFormatting sqref="N20">
    <cfRule type="cellIs" priority="16" operator="lessThanOrEqual" aboveAverage="0" equalAverage="0" bottom="0" percent="0" rank="0" text="" dxfId="20">
      <formula>$E$38</formula>
    </cfRule>
    <cfRule type="cellIs" priority="17" operator="between" aboveAverage="0" equalAverage="0" bottom="0" percent="0" rank="0" text="" dxfId="21">
      <formula>$E$38</formula>
      <formula>$C$38</formula>
    </cfRule>
    <cfRule type="cellIs" priority="18" operator="greaterThan" aboveAverage="0" equalAverage="0" bottom="0" percent="0" rank="0" text="" dxfId="22">
      <formula>$C$38</formula>
    </cfRule>
  </conditionalFormatting>
  <conditionalFormatting sqref="L20">
    <cfRule type="cellIs" priority="19" operator="lessThanOrEqual" aboveAverage="0" equalAverage="0" bottom="0" percent="0" rank="0" text="" dxfId="23">
      <formula>$E$38</formula>
    </cfRule>
    <cfRule type="cellIs" priority="20" operator="between" aboveAverage="0" equalAverage="0" bottom="0" percent="0" rank="0" text="" dxfId="24">
      <formula>$E$38</formula>
      <formula>$C$38</formula>
    </cfRule>
    <cfRule type="cellIs" priority="21" operator="greaterThan" aboveAverage="0" equalAverage="0" bottom="0" percent="0" rank="0" text="" dxfId="25">
      <formula>$C$38</formula>
    </cfRule>
  </conditionalFormatting>
  <conditionalFormatting sqref="J20">
    <cfRule type="cellIs" priority="22" operator="lessThanOrEqual" aboveAverage="0" equalAverage="0" bottom="0" percent="0" rank="0" text="" dxfId="26">
      <formula>$E$38</formula>
    </cfRule>
    <cfRule type="cellIs" priority="23" operator="between" aboveAverage="0" equalAverage="0" bottom="0" percent="0" rank="0" text="" dxfId="27">
      <formula>$E$38</formula>
      <formula>$C$38</formula>
    </cfRule>
    <cfRule type="cellIs" priority="24" operator="greaterThan" aboveAverage="0" equalAverage="0" bottom="0" percent="0" rank="0" text="" dxfId="28">
      <formula>$C$38</formula>
    </cfRule>
  </conditionalFormatting>
  <conditionalFormatting sqref="F20">
    <cfRule type="cellIs" priority="25" operator="lessThanOrEqual" aboveAverage="0" equalAverage="0" bottom="0" percent="0" rank="0" text="" dxfId="29">
      <formula>$E$38</formula>
    </cfRule>
    <cfRule type="cellIs" priority="26" operator="between" aboveAverage="0" equalAverage="0" bottom="0" percent="0" rank="0" text="" dxfId="30">
      <formula>$E$38</formula>
      <formula>$C$38</formula>
    </cfRule>
    <cfRule type="cellIs" priority="27" operator="greaterThan" aboveAverage="0" equalAverage="0" bottom="0" percent="0" rank="0" text="" dxfId="31">
      <formula>$C$38</formula>
    </cfRule>
  </conditionalFormatting>
  <conditionalFormatting sqref="T18:T19">
    <cfRule type="cellIs" priority="28" operator="lessThanOrEqual" aboveAverage="0" equalAverage="0" bottom="0" percent="0" rank="0" text="" dxfId="32">
      <formula>$E$38</formula>
    </cfRule>
    <cfRule type="cellIs" priority="29" operator="between" aboveAverage="0" equalAverage="0" bottom="0" percent="0" rank="0" text="" dxfId="33">
      <formula>$E$38</formula>
      <formula>$C$38</formula>
    </cfRule>
    <cfRule type="cellIs" priority="30" operator="greaterThan" aboveAverage="0" equalAverage="0" bottom="0" percent="0" rank="0" text="" dxfId="34">
      <formula>$C$38</formula>
    </cfRule>
  </conditionalFormatting>
  <conditionalFormatting sqref="R18:R19">
    <cfRule type="cellIs" priority="31" operator="lessThanOrEqual" aboveAverage="0" equalAverage="0" bottom="0" percent="0" rank="0" text="" dxfId="35">
      <formula>$E$38</formula>
    </cfRule>
    <cfRule type="cellIs" priority="32" operator="between" aboveAverage="0" equalAverage="0" bottom="0" percent="0" rank="0" text="" dxfId="36">
      <formula>$E$38</formula>
      <formula>$C$38</formula>
    </cfRule>
    <cfRule type="cellIs" priority="33" operator="greaterThan" aboveAverage="0" equalAverage="0" bottom="0" percent="0" rank="0" text="" dxfId="37">
      <formula>$C$38</formula>
    </cfRule>
  </conditionalFormatting>
  <conditionalFormatting sqref="P18:P19">
    <cfRule type="cellIs" priority="34" operator="lessThanOrEqual" aboveAverage="0" equalAverage="0" bottom="0" percent="0" rank="0" text="" dxfId="38">
      <formula>$E$38</formula>
    </cfRule>
    <cfRule type="cellIs" priority="35" operator="between" aboveAverage="0" equalAverage="0" bottom="0" percent="0" rank="0" text="" dxfId="39">
      <formula>$E$38</formula>
      <formula>$C$38</formula>
    </cfRule>
    <cfRule type="cellIs" priority="36" operator="greaterThan" aboveAverage="0" equalAverage="0" bottom="0" percent="0" rank="0" text="" dxfId="40">
      <formula>$C$38</formula>
    </cfRule>
  </conditionalFormatting>
  <conditionalFormatting sqref="N18:N19">
    <cfRule type="cellIs" priority="37" operator="lessThanOrEqual" aboveAverage="0" equalAverage="0" bottom="0" percent="0" rank="0" text="" dxfId="41">
      <formula>$E$38</formula>
    </cfRule>
    <cfRule type="cellIs" priority="38" operator="between" aboveAverage="0" equalAverage="0" bottom="0" percent="0" rank="0" text="" dxfId="42">
      <formula>$E$38</formula>
      <formula>$C$38</formula>
    </cfRule>
    <cfRule type="cellIs" priority="39" operator="greaterThan" aboveAverage="0" equalAverage="0" bottom="0" percent="0" rank="0" text="" dxfId="43">
      <formula>$C$38</formula>
    </cfRule>
  </conditionalFormatting>
  <conditionalFormatting sqref="L18:L19">
    <cfRule type="cellIs" priority="40" operator="lessThanOrEqual" aboveAverage="0" equalAverage="0" bottom="0" percent="0" rank="0" text="" dxfId="44">
      <formula>$E$38</formula>
    </cfRule>
    <cfRule type="cellIs" priority="41" operator="between" aboveAverage="0" equalAverage="0" bottom="0" percent="0" rank="0" text="" dxfId="45">
      <formula>$E$38</formula>
      <formula>$C$38</formula>
    </cfRule>
    <cfRule type="cellIs" priority="42" operator="greaterThan" aboveAverage="0" equalAverage="0" bottom="0" percent="0" rank="0" text="" dxfId="46">
      <formula>$C$38</formula>
    </cfRule>
  </conditionalFormatting>
  <conditionalFormatting sqref="J18:J19">
    <cfRule type="cellIs" priority="43" operator="lessThanOrEqual" aboveAverage="0" equalAverage="0" bottom="0" percent="0" rank="0" text="" dxfId="47">
      <formula>$E$38</formula>
    </cfRule>
    <cfRule type="cellIs" priority="44" operator="between" aboveAverage="0" equalAverage="0" bottom="0" percent="0" rank="0" text="" dxfId="48">
      <formula>$E$38</formula>
      <formula>$C$38</formula>
    </cfRule>
    <cfRule type="cellIs" priority="45" operator="greaterThan" aboveAverage="0" equalAverage="0" bottom="0" percent="0" rank="0" text="" dxfId="49">
      <formula>$C$38</formula>
    </cfRule>
  </conditionalFormatting>
  <conditionalFormatting sqref="H18:H19">
    <cfRule type="cellIs" priority="46" operator="lessThanOrEqual" aboveAverage="0" equalAverage="0" bottom="0" percent="0" rank="0" text="" dxfId="50">
      <formula>$E$38</formula>
    </cfRule>
    <cfRule type="cellIs" priority="47" operator="between" aboveAverage="0" equalAverage="0" bottom="0" percent="0" rank="0" text="" dxfId="51">
      <formula>$E$38</formula>
      <formula>$C$38</formula>
    </cfRule>
    <cfRule type="cellIs" priority="48" operator="greaterThan" aboveAverage="0" equalAverage="0" bottom="0" percent="0" rank="0" text="" dxfId="52">
      <formula>$C$38</formula>
    </cfRule>
  </conditionalFormatting>
  <conditionalFormatting sqref="CL21 N21 P21 R21 H21 C44">
    <cfRule type="cellIs" priority="49" operator="equal" aboveAverage="0" equalAverage="0" bottom="0" percent="0" rank="0" text="" dxfId="53">
      <formula>$E$37</formula>
    </cfRule>
    <cfRule type="cellIs" priority="50" operator="equal" aboveAverage="0" equalAverage="0" bottom="0" percent="0" rank="0" text="" dxfId="54">
      <formula>$D$37</formula>
    </cfRule>
    <cfRule type="cellIs" priority="51" operator="equal" aboveAverage="0" equalAverage="0" bottom="0" percent="0" rank="0" text="" dxfId="55">
      <formula>$C$37</formula>
    </cfRule>
  </conditionalFormatting>
  <conditionalFormatting sqref="CL18:CL20">
    <cfRule type="cellIs" priority="52" operator="lessThanOrEqual" aboveAverage="0" equalAverage="0" bottom="0" percent="0" rank="0" text="" dxfId="56">
      <formula>$E$38</formula>
    </cfRule>
    <cfRule type="cellIs" priority="53" operator="between" aboveAverage="0" equalAverage="0" bottom="0" percent="0" rank="0" text="" dxfId="57">
      <formula>$E$38</formula>
      <formula>$C$38</formula>
    </cfRule>
    <cfRule type="cellIs" priority="54" operator="greaterThan" aboveAverage="0" equalAverage="0" bottom="0" percent="0" rank="0" text="" dxfId="58">
      <formula>$C$38</formula>
    </cfRule>
  </conditionalFormatting>
  <conditionalFormatting sqref="C13:CL13">
    <cfRule type="cellIs" priority="55" operator="greaterThanOrEqual" aboveAverage="0" equalAverage="0" bottom="0" percent="0" rank="0" text="" dxfId="59">
      <formula>$E$40</formula>
    </cfRule>
    <cfRule type="cellIs" priority="56" operator="between" aboveAverage="0" equalAverage="0" bottom="0" percent="0" rank="0" text="" dxfId="60">
      <formula>$C$40</formula>
      <formula>$E$40</formula>
    </cfRule>
    <cfRule type="cellIs" priority="57" operator="lessThan" aboveAverage="0" equalAverage="0" bottom="0" percent="0" rank="0" text="" dxfId="61">
      <formula>$C$40</formula>
    </cfRule>
  </conditionalFormatting>
  <conditionalFormatting sqref="C15:CL15">
    <cfRule type="cellIs" priority="58" operator="equal" aboveAverage="0" equalAverage="0" bottom="0" percent="0" rank="0" text="" dxfId="62">
      <formula>$E$37</formula>
    </cfRule>
    <cfRule type="cellIs" priority="59" operator="equal" aboveAverage="0" equalAverage="0" bottom="0" percent="0" rank="0" text="" dxfId="63">
      <formula>$D$37</formula>
    </cfRule>
    <cfRule type="cellIs" priority="60" operator="equal" aboveAverage="0" equalAverage="0" bottom="0" percent="0" rank="0" text="" dxfId="64">
      <formula>$C$37</formula>
    </cfRule>
  </conditionalFormatting>
  <conditionalFormatting sqref="CJ21">
    <cfRule type="cellIs" priority="61" operator="equal" aboveAverage="0" equalAverage="0" bottom="0" percent="0" rank="0" text="" dxfId="65">
      <formula>$E$37</formula>
    </cfRule>
    <cfRule type="cellIs" priority="62" operator="equal" aboveAverage="0" equalAverage="0" bottom="0" percent="0" rank="0" text="" dxfId="66">
      <formula>$D$37</formula>
    </cfRule>
    <cfRule type="cellIs" priority="63" operator="equal" aboveAverage="0" equalAverage="0" bottom="0" percent="0" rank="0" text="" dxfId="67">
      <formula>$C$37</formula>
    </cfRule>
  </conditionalFormatting>
  <conditionalFormatting sqref="CJ18:CJ20">
    <cfRule type="cellIs" priority="64" operator="lessThanOrEqual" aboveAverage="0" equalAverage="0" bottom="0" percent="0" rank="0" text="" dxfId="68">
      <formula>$E$38</formula>
    </cfRule>
    <cfRule type="cellIs" priority="65" operator="between" aboveAverage="0" equalAverage="0" bottom="0" percent="0" rank="0" text="" dxfId="69">
      <formula>$E$38</formula>
      <formula>$C$38</formula>
    </cfRule>
    <cfRule type="cellIs" priority="66" operator="greaterThan" aboveAverage="0" equalAverage="0" bottom="0" percent="0" rank="0" text="" dxfId="70">
      <formula>$C$38</formula>
    </cfRule>
  </conditionalFormatting>
  <conditionalFormatting sqref="CH21">
    <cfRule type="cellIs" priority="67" operator="equal" aboveAverage="0" equalAverage="0" bottom="0" percent="0" rank="0" text="" dxfId="71">
      <formula>$E$37</formula>
    </cfRule>
    <cfRule type="cellIs" priority="68" operator="equal" aboveAverage="0" equalAverage="0" bottom="0" percent="0" rank="0" text="" dxfId="72">
      <formula>$D$37</formula>
    </cfRule>
    <cfRule type="cellIs" priority="69" operator="equal" aboveAverage="0" equalAverage="0" bottom="0" percent="0" rank="0" text="" dxfId="73">
      <formula>$C$37</formula>
    </cfRule>
  </conditionalFormatting>
  <conditionalFormatting sqref="CH18:CH20">
    <cfRule type="cellIs" priority="70" operator="lessThanOrEqual" aboveAverage="0" equalAverage="0" bottom="0" percent="0" rank="0" text="" dxfId="74">
      <formula>$E$38</formula>
    </cfRule>
    <cfRule type="cellIs" priority="71" operator="between" aboveAverage="0" equalAverage="0" bottom="0" percent="0" rank="0" text="" dxfId="75">
      <formula>$E$38</formula>
      <formula>$C$38</formula>
    </cfRule>
    <cfRule type="cellIs" priority="72" operator="greaterThan" aboveAverage="0" equalAverage="0" bottom="0" percent="0" rank="0" text="" dxfId="76">
      <formula>$C$38</formula>
    </cfRule>
  </conditionalFormatting>
  <conditionalFormatting sqref="CF21">
    <cfRule type="cellIs" priority="73" operator="equal" aboveAverage="0" equalAverage="0" bottom="0" percent="0" rank="0" text="" dxfId="77">
      <formula>$E$37</formula>
    </cfRule>
    <cfRule type="cellIs" priority="74" operator="equal" aboveAverage="0" equalAverage="0" bottom="0" percent="0" rank="0" text="" dxfId="78">
      <formula>$D$37</formula>
    </cfRule>
    <cfRule type="cellIs" priority="75" operator="equal" aboveAverage="0" equalAverage="0" bottom="0" percent="0" rank="0" text="" dxfId="79">
      <formula>$C$37</formula>
    </cfRule>
  </conditionalFormatting>
  <conditionalFormatting sqref="CF18:CF20">
    <cfRule type="cellIs" priority="76" operator="lessThanOrEqual" aboveAverage="0" equalAverage="0" bottom="0" percent="0" rank="0" text="" dxfId="80">
      <formula>$E$38</formula>
    </cfRule>
    <cfRule type="cellIs" priority="77" operator="between" aboveAverage="0" equalAverage="0" bottom="0" percent="0" rank="0" text="" dxfId="81">
      <formula>$E$38</formula>
      <formula>$C$38</formula>
    </cfRule>
    <cfRule type="cellIs" priority="78" operator="greaterThan" aboveAverage="0" equalAverage="0" bottom="0" percent="0" rank="0" text="" dxfId="82">
      <formula>$C$38</formula>
    </cfRule>
  </conditionalFormatting>
  <conditionalFormatting sqref="CD21">
    <cfRule type="cellIs" priority="79" operator="equal" aboveAverage="0" equalAverage="0" bottom="0" percent="0" rank="0" text="" dxfId="83">
      <formula>$E$37</formula>
    </cfRule>
    <cfRule type="cellIs" priority="80" operator="equal" aboveAverage="0" equalAverage="0" bottom="0" percent="0" rank="0" text="" dxfId="84">
      <formula>$D$37</formula>
    </cfRule>
    <cfRule type="cellIs" priority="81" operator="equal" aboveAverage="0" equalAverage="0" bottom="0" percent="0" rank="0" text="" dxfId="85">
      <formula>$C$37</formula>
    </cfRule>
  </conditionalFormatting>
  <conditionalFormatting sqref="CD18:CD20">
    <cfRule type="cellIs" priority="82" operator="lessThanOrEqual" aboveAverage="0" equalAverage="0" bottom="0" percent="0" rank="0" text="" dxfId="86">
      <formula>$E$38</formula>
    </cfRule>
    <cfRule type="cellIs" priority="83" operator="between" aboveAverage="0" equalAverage="0" bottom="0" percent="0" rank="0" text="" dxfId="87">
      <formula>$E$38</formula>
      <formula>$C$38</formula>
    </cfRule>
    <cfRule type="cellIs" priority="84" operator="greaterThan" aboveAverage="0" equalAverage="0" bottom="0" percent="0" rank="0" text="" dxfId="88">
      <formula>$C$38</formula>
    </cfRule>
  </conditionalFormatting>
  <conditionalFormatting sqref="CB21">
    <cfRule type="cellIs" priority="85" operator="equal" aboveAverage="0" equalAverage="0" bottom="0" percent="0" rank="0" text="" dxfId="89">
      <formula>$E$37</formula>
    </cfRule>
    <cfRule type="cellIs" priority="86" operator="equal" aboveAverage="0" equalAverage="0" bottom="0" percent="0" rank="0" text="" dxfId="90">
      <formula>$D$37</formula>
    </cfRule>
    <cfRule type="cellIs" priority="87" operator="equal" aboveAverage="0" equalAverage="0" bottom="0" percent="0" rank="0" text="" dxfId="91">
      <formula>$C$37</formula>
    </cfRule>
  </conditionalFormatting>
  <conditionalFormatting sqref="CB18:CB20">
    <cfRule type="cellIs" priority="88" operator="lessThanOrEqual" aboveAverage="0" equalAverage="0" bottom="0" percent="0" rank="0" text="" dxfId="92">
      <formula>$E$38</formula>
    </cfRule>
    <cfRule type="cellIs" priority="89" operator="between" aboveAverage="0" equalAverage="0" bottom="0" percent="0" rank="0" text="" dxfId="93">
      <formula>$E$38</formula>
      <formula>$C$38</formula>
    </cfRule>
    <cfRule type="cellIs" priority="90" operator="greaterThan" aboveAverage="0" equalAverage="0" bottom="0" percent="0" rank="0" text="" dxfId="94">
      <formula>$C$38</formula>
    </cfRule>
  </conditionalFormatting>
  <conditionalFormatting sqref="BZ21">
    <cfRule type="cellIs" priority="91" operator="equal" aboveAverage="0" equalAverage="0" bottom="0" percent="0" rank="0" text="" dxfId="95">
      <formula>$E$37</formula>
    </cfRule>
    <cfRule type="cellIs" priority="92" operator="equal" aboveAverage="0" equalAverage="0" bottom="0" percent="0" rank="0" text="" dxfId="96">
      <formula>$D$37</formula>
    </cfRule>
    <cfRule type="cellIs" priority="93" operator="equal" aboveAverage="0" equalAverage="0" bottom="0" percent="0" rank="0" text="" dxfId="97">
      <formula>$C$37</formula>
    </cfRule>
  </conditionalFormatting>
  <conditionalFormatting sqref="BZ18:BZ20">
    <cfRule type="cellIs" priority="94" operator="lessThanOrEqual" aboveAverage="0" equalAverage="0" bottom="0" percent="0" rank="0" text="" dxfId="98">
      <formula>$E$38</formula>
    </cfRule>
    <cfRule type="cellIs" priority="95" operator="between" aboveAverage="0" equalAverage="0" bottom="0" percent="0" rank="0" text="" dxfId="99">
      <formula>$E$38</formula>
      <formula>$C$38</formula>
    </cfRule>
    <cfRule type="cellIs" priority="96" operator="greaterThan" aboveAverage="0" equalAverage="0" bottom="0" percent="0" rank="0" text="" dxfId="100">
      <formula>$C$38</formula>
    </cfRule>
  </conditionalFormatting>
  <conditionalFormatting sqref="BX21">
    <cfRule type="cellIs" priority="97" operator="equal" aboveAverage="0" equalAverage="0" bottom="0" percent="0" rank="0" text="" dxfId="101">
      <formula>$E$37</formula>
    </cfRule>
    <cfRule type="cellIs" priority="98" operator="equal" aboveAverage="0" equalAverage="0" bottom="0" percent="0" rank="0" text="" dxfId="102">
      <formula>$D$37</formula>
    </cfRule>
    <cfRule type="cellIs" priority="99" operator="equal" aboveAverage="0" equalAverage="0" bottom="0" percent="0" rank="0" text="" dxfId="103">
      <formula>$C$37</formula>
    </cfRule>
  </conditionalFormatting>
  <conditionalFormatting sqref="BX18:BX20">
    <cfRule type="cellIs" priority="100" operator="lessThanOrEqual" aboveAverage="0" equalAverage="0" bottom="0" percent="0" rank="0" text="" dxfId="104">
      <formula>$E$38</formula>
    </cfRule>
    <cfRule type="cellIs" priority="101" operator="between" aboveAverage="0" equalAverage="0" bottom="0" percent="0" rank="0" text="" dxfId="105">
      <formula>$E$38</formula>
      <formula>$C$38</formula>
    </cfRule>
    <cfRule type="cellIs" priority="102" operator="greaterThan" aboveAverage="0" equalAverage="0" bottom="0" percent="0" rank="0" text="" dxfId="106">
      <formula>$C$38</formula>
    </cfRule>
  </conditionalFormatting>
  <conditionalFormatting sqref="BV21">
    <cfRule type="cellIs" priority="103" operator="equal" aboveAverage="0" equalAverage="0" bottom="0" percent="0" rank="0" text="" dxfId="107">
      <formula>$E$37</formula>
    </cfRule>
    <cfRule type="cellIs" priority="104" operator="equal" aboveAverage="0" equalAverage="0" bottom="0" percent="0" rank="0" text="" dxfId="108">
      <formula>$D$37</formula>
    </cfRule>
    <cfRule type="cellIs" priority="105" operator="equal" aboveAverage="0" equalAverage="0" bottom="0" percent="0" rank="0" text="" dxfId="109">
      <formula>$C$37</formula>
    </cfRule>
  </conditionalFormatting>
  <conditionalFormatting sqref="BV18:BV20">
    <cfRule type="cellIs" priority="106" operator="lessThanOrEqual" aboveAverage="0" equalAverage="0" bottom="0" percent="0" rank="0" text="" dxfId="110">
      <formula>$E$38</formula>
    </cfRule>
    <cfRule type="cellIs" priority="107" operator="between" aboveAverage="0" equalAverage="0" bottom="0" percent="0" rank="0" text="" dxfId="111">
      <formula>$E$38</formula>
      <formula>$C$38</formula>
    </cfRule>
    <cfRule type="cellIs" priority="108" operator="greaterThan" aboveAverage="0" equalAverage="0" bottom="0" percent="0" rank="0" text="" dxfId="112">
      <formula>$C$38</formula>
    </cfRule>
  </conditionalFormatting>
  <conditionalFormatting sqref="BT21">
    <cfRule type="cellIs" priority="109" operator="equal" aboveAverage="0" equalAverage="0" bottom="0" percent="0" rank="0" text="" dxfId="113">
      <formula>$E$37</formula>
    </cfRule>
    <cfRule type="cellIs" priority="110" operator="equal" aboveAverage="0" equalAverage="0" bottom="0" percent="0" rank="0" text="" dxfId="114">
      <formula>$D$37</formula>
    </cfRule>
    <cfRule type="cellIs" priority="111" operator="equal" aboveAverage="0" equalAverage="0" bottom="0" percent="0" rank="0" text="" dxfId="115">
      <formula>$C$37</formula>
    </cfRule>
  </conditionalFormatting>
  <conditionalFormatting sqref="BT18:BT20">
    <cfRule type="cellIs" priority="112" operator="lessThanOrEqual" aboveAverage="0" equalAverage="0" bottom="0" percent="0" rank="0" text="" dxfId="116">
      <formula>$E$38</formula>
    </cfRule>
    <cfRule type="cellIs" priority="113" operator="between" aboveAverage="0" equalAverage="0" bottom="0" percent="0" rank="0" text="" dxfId="117">
      <formula>$E$38</formula>
      <formula>$C$38</formula>
    </cfRule>
    <cfRule type="cellIs" priority="114" operator="greaterThan" aboveAverage="0" equalAverage="0" bottom="0" percent="0" rank="0" text="" dxfId="118">
      <formula>$C$38</formula>
    </cfRule>
  </conditionalFormatting>
  <conditionalFormatting sqref="BR21">
    <cfRule type="cellIs" priority="115" operator="equal" aboveAverage="0" equalAverage="0" bottom="0" percent="0" rank="0" text="" dxfId="119">
      <formula>$E$37</formula>
    </cfRule>
    <cfRule type="cellIs" priority="116" operator="equal" aboveAverage="0" equalAverage="0" bottom="0" percent="0" rank="0" text="" dxfId="120">
      <formula>$D$37</formula>
    </cfRule>
    <cfRule type="cellIs" priority="117" operator="equal" aboveAverage="0" equalAverage="0" bottom="0" percent="0" rank="0" text="" dxfId="121">
      <formula>$C$37</formula>
    </cfRule>
  </conditionalFormatting>
  <conditionalFormatting sqref="BR18:BR20">
    <cfRule type="cellIs" priority="118" operator="lessThanOrEqual" aboveAverage="0" equalAverage="0" bottom="0" percent="0" rank="0" text="" dxfId="122">
      <formula>$E$38</formula>
    </cfRule>
    <cfRule type="cellIs" priority="119" operator="between" aboveAverage="0" equalAverage="0" bottom="0" percent="0" rank="0" text="" dxfId="123">
      <formula>$E$38</formula>
      <formula>$C$38</formula>
    </cfRule>
    <cfRule type="cellIs" priority="120" operator="greaterThan" aboveAverage="0" equalAverage="0" bottom="0" percent="0" rank="0" text="" dxfId="124">
      <formula>$C$38</formula>
    </cfRule>
  </conditionalFormatting>
  <conditionalFormatting sqref="BP21">
    <cfRule type="cellIs" priority="121" operator="equal" aboveAverage="0" equalAverage="0" bottom="0" percent="0" rank="0" text="" dxfId="125">
      <formula>$E$37</formula>
    </cfRule>
    <cfRule type="cellIs" priority="122" operator="equal" aboveAverage="0" equalAverage="0" bottom="0" percent="0" rank="0" text="" dxfId="126">
      <formula>$D$37</formula>
    </cfRule>
    <cfRule type="cellIs" priority="123" operator="equal" aboveAverage="0" equalAverage="0" bottom="0" percent="0" rank="0" text="" dxfId="127">
      <formula>$C$37</formula>
    </cfRule>
  </conditionalFormatting>
  <conditionalFormatting sqref="BP18:BP20">
    <cfRule type="cellIs" priority="124" operator="lessThanOrEqual" aboveAverage="0" equalAverage="0" bottom="0" percent="0" rank="0" text="" dxfId="128">
      <formula>$E$38</formula>
    </cfRule>
    <cfRule type="cellIs" priority="125" operator="between" aboveAverage="0" equalAverage="0" bottom="0" percent="0" rank="0" text="" dxfId="129">
      <formula>$E$38</formula>
      <formula>$C$38</formula>
    </cfRule>
    <cfRule type="cellIs" priority="126" operator="greaterThan" aboveAverage="0" equalAverage="0" bottom="0" percent="0" rank="0" text="" dxfId="130">
      <formula>$C$38</formula>
    </cfRule>
  </conditionalFormatting>
  <conditionalFormatting sqref="BN21">
    <cfRule type="cellIs" priority="127" operator="equal" aboveAverage="0" equalAverage="0" bottom="0" percent="0" rank="0" text="" dxfId="131">
      <formula>$E$37</formula>
    </cfRule>
    <cfRule type="cellIs" priority="128" operator="equal" aboveAverage="0" equalAverage="0" bottom="0" percent="0" rank="0" text="" dxfId="132">
      <formula>$D$37</formula>
    </cfRule>
    <cfRule type="cellIs" priority="129" operator="equal" aboveAverage="0" equalAverage="0" bottom="0" percent="0" rank="0" text="" dxfId="133">
      <formula>$C$37</formula>
    </cfRule>
  </conditionalFormatting>
  <conditionalFormatting sqref="BN18:BN20">
    <cfRule type="cellIs" priority="130" operator="lessThanOrEqual" aboveAverage="0" equalAverage="0" bottom="0" percent="0" rank="0" text="" dxfId="134">
      <formula>$E$38</formula>
    </cfRule>
    <cfRule type="cellIs" priority="131" operator="between" aboveAverage="0" equalAverage="0" bottom="0" percent="0" rank="0" text="" dxfId="135">
      <formula>$E$38</formula>
      <formula>$C$38</formula>
    </cfRule>
    <cfRule type="cellIs" priority="132" operator="greaterThan" aboveAverage="0" equalAverage="0" bottom="0" percent="0" rank="0" text="" dxfId="136">
      <formula>$C$38</formula>
    </cfRule>
  </conditionalFormatting>
  <conditionalFormatting sqref="BL21">
    <cfRule type="cellIs" priority="133" operator="equal" aboveAverage="0" equalAverage="0" bottom="0" percent="0" rank="0" text="" dxfId="137">
      <formula>$E$37</formula>
    </cfRule>
    <cfRule type="cellIs" priority="134" operator="equal" aboveAverage="0" equalAverage="0" bottom="0" percent="0" rank="0" text="" dxfId="138">
      <formula>$D$37</formula>
    </cfRule>
    <cfRule type="cellIs" priority="135" operator="equal" aboveAverage="0" equalAverage="0" bottom="0" percent="0" rank="0" text="" dxfId="139">
      <formula>$C$37</formula>
    </cfRule>
  </conditionalFormatting>
  <conditionalFormatting sqref="BL18:BL20">
    <cfRule type="cellIs" priority="136" operator="lessThanOrEqual" aboveAverage="0" equalAverage="0" bottom="0" percent="0" rank="0" text="" dxfId="140">
      <formula>$E$38</formula>
    </cfRule>
    <cfRule type="cellIs" priority="137" operator="between" aboveAverage="0" equalAverage="0" bottom="0" percent="0" rank="0" text="" dxfId="141">
      <formula>$E$38</formula>
      <formula>$C$38</formula>
    </cfRule>
    <cfRule type="cellIs" priority="138" operator="greaterThan" aboveAverage="0" equalAverage="0" bottom="0" percent="0" rank="0" text="" dxfId="142">
      <formula>$C$38</formula>
    </cfRule>
  </conditionalFormatting>
  <conditionalFormatting sqref="BJ21">
    <cfRule type="cellIs" priority="139" operator="equal" aboveAverage="0" equalAverage="0" bottom="0" percent="0" rank="0" text="" dxfId="143">
      <formula>$E$37</formula>
    </cfRule>
    <cfRule type="cellIs" priority="140" operator="equal" aboveAverage="0" equalAverage="0" bottom="0" percent="0" rank="0" text="" dxfId="144">
      <formula>$D$37</formula>
    </cfRule>
    <cfRule type="cellIs" priority="141" operator="equal" aboveAverage="0" equalAverage="0" bottom="0" percent="0" rank="0" text="" dxfId="145">
      <formula>$C$37</formula>
    </cfRule>
  </conditionalFormatting>
  <conditionalFormatting sqref="BJ18:BJ20">
    <cfRule type="cellIs" priority="142" operator="lessThanOrEqual" aboveAverage="0" equalAverage="0" bottom="0" percent="0" rank="0" text="" dxfId="146">
      <formula>$E$38</formula>
    </cfRule>
    <cfRule type="cellIs" priority="143" operator="between" aboveAverage="0" equalAverage="0" bottom="0" percent="0" rank="0" text="" dxfId="147">
      <formula>$E$38</formula>
      <formula>$C$38</formula>
    </cfRule>
    <cfRule type="cellIs" priority="144" operator="greaterThan" aboveAverage="0" equalAverage="0" bottom="0" percent="0" rank="0" text="" dxfId="148">
      <formula>$C$38</formula>
    </cfRule>
  </conditionalFormatting>
  <conditionalFormatting sqref="BH21">
    <cfRule type="cellIs" priority="145" operator="equal" aboveAverage="0" equalAverage="0" bottom="0" percent="0" rank="0" text="" dxfId="149">
      <formula>$E$37</formula>
    </cfRule>
    <cfRule type="cellIs" priority="146" operator="equal" aboveAverage="0" equalAverage="0" bottom="0" percent="0" rank="0" text="" dxfId="150">
      <formula>$D$37</formula>
    </cfRule>
    <cfRule type="cellIs" priority="147" operator="equal" aboveAverage="0" equalAverage="0" bottom="0" percent="0" rank="0" text="" dxfId="151">
      <formula>$C$37</formula>
    </cfRule>
  </conditionalFormatting>
  <conditionalFormatting sqref="BH18:BH20">
    <cfRule type="cellIs" priority="148" operator="lessThanOrEqual" aboveAverage="0" equalAverage="0" bottom="0" percent="0" rank="0" text="" dxfId="152">
      <formula>$E$38</formula>
    </cfRule>
    <cfRule type="cellIs" priority="149" operator="between" aboveAverage="0" equalAverage="0" bottom="0" percent="0" rank="0" text="" dxfId="153">
      <formula>$E$38</formula>
      <formula>$C$38</formula>
    </cfRule>
    <cfRule type="cellIs" priority="150" operator="greaterThan" aboveAverage="0" equalAverage="0" bottom="0" percent="0" rank="0" text="" dxfId="154">
      <formula>$C$38</formula>
    </cfRule>
  </conditionalFormatting>
  <conditionalFormatting sqref="BF21">
    <cfRule type="cellIs" priority="151" operator="equal" aboveAverage="0" equalAverage="0" bottom="0" percent="0" rank="0" text="" dxfId="155">
      <formula>$E$37</formula>
    </cfRule>
    <cfRule type="cellIs" priority="152" operator="equal" aboveAverage="0" equalAverage="0" bottom="0" percent="0" rank="0" text="" dxfId="156">
      <formula>$D$37</formula>
    </cfRule>
    <cfRule type="cellIs" priority="153" operator="equal" aboveAverage="0" equalAverage="0" bottom="0" percent="0" rank="0" text="" dxfId="157">
      <formula>$C$37</formula>
    </cfRule>
  </conditionalFormatting>
  <conditionalFormatting sqref="BF18:BF20">
    <cfRule type="cellIs" priority="154" operator="lessThanOrEqual" aboveAverage="0" equalAverage="0" bottom="0" percent="0" rank="0" text="" dxfId="158">
      <formula>$E$38</formula>
    </cfRule>
    <cfRule type="cellIs" priority="155" operator="between" aboveAverage="0" equalAverage="0" bottom="0" percent="0" rank="0" text="" dxfId="159">
      <formula>$E$38</formula>
      <formula>$C$38</formula>
    </cfRule>
    <cfRule type="cellIs" priority="156" operator="greaterThan" aboveAverage="0" equalAverage="0" bottom="0" percent="0" rank="0" text="" dxfId="160">
      <formula>$C$38</formula>
    </cfRule>
  </conditionalFormatting>
  <conditionalFormatting sqref="BD21">
    <cfRule type="cellIs" priority="157" operator="equal" aboveAverage="0" equalAverage="0" bottom="0" percent="0" rank="0" text="" dxfId="161">
      <formula>$E$37</formula>
    </cfRule>
    <cfRule type="cellIs" priority="158" operator="equal" aboveAverage="0" equalAverage="0" bottom="0" percent="0" rank="0" text="" dxfId="162">
      <formula>$D$37</formula>
    </cfRule>
    <cfRule type="cellIs" priority="159" operator="equal" aboveAverage="0" equalAverage="0" bottom="0" percent="0" rank="0" text="" dxfId="163">
      <formula>$C$37</formula>
    </cfRule>
  </conditionalFormatting>
  <conditionalFormatting sqref="BD18:BD20">
    <cfRule type="cellIs" priority="160" operator="lessThanOrEqual" aboveAverage="0" equalAverage="0" bottom="0" percent="0" rank="0" text="" dxfId="164">
      <formula>$E$38</formula>
    </cfRule>
    <cfRule type="cellIs" priority="161" operator="between" aboveAverage="0" equalAverage="0" bottom="0" percent="0" rank="0" text="" dxfId="165">
      <formula>$E$38</formula>
      <formula>$C$38</formula>
    </cfRule>
    <cfRule type="cellIs" priority="162" operator="greaterThan" aboveAverage="0" equalAverage="0" bottom="0" percent="0" rank="0" text="" dxfId="166">
      <formula>$C$38</formula>
    </cfRule>
  </conditionalFormatting>
  <conditionalFormatting sqref="BB21">
    <cfRule type="cellIs" priority="163" operator="equal" aboveAverage="0" equalAverage="0" bottom="0" percent="0" rank="0" text="" dxfId="167">
      <formula>$E$37</formula>
    </cfRule>
    <cfRule type="cellIs" priority="164" operator="equal" aboveAverage="0" equalAverage="0" bottom="0" percent="0" rank="0" text="" dxfId="168">
      <formula>$D$37</formula>
    </cfRule>
    <cfRule type="cellIs" priority="165" operator="equal" aboveAverage="0" equalAverage="0" bottom="0" percent="0" rank="0" text="" dxfId="169">
      <formula>$C$37</formula>
    </cfRule>
  </conditionalFormatting>
  <conditionalFormatting sqref="BB18:BB20">
    <cfRule type="cellIs" priority="166" operator="lessThanOrEqual" aboveAverage="0" equalAverage="0" bottom="0" percent="0" rank="0" text="" dxfId="170">
      <formula>$E$38</formula>
    </cfRule>
    <cfRule type="cellIs" priority="167" operator="between" aboveAverage="0" equalAverage="0" bottom="0" percent="0" rank="0" text="" dxfId="171">
      <formula>$E$38</formula>
      <formula>$C$38</formula>
    </cfRule>
    <cfRule type="cellIs" priority="168" operator="greaterThan" aboveAverage="0" equalAverage="0" bottom="0" percent="0" rank="0" text="" dxfId="172">
      <formula>$C$38</formula>
    </cfRule>
  </conditionalFormatting>
  <conditionalFormatting sqref="AZ21">
    <cfRule type="cellIs" priority="169" operator="equal" aboveAverage="0" equalAverage="0" bottom="0" percent="0" rank="0" text="" dxfId="173">
      <formula>$E$37</formula>
    </cfRule>
    <cfRule type="cellIs" priority="170" operator="equal" aboveAverage="0" equalAverage="0" bottom="0" percent="0" rank="0" text="" dxfId="174">
      <formula>$D$37</formula>
    </cfRule>
    <cfRule type="cellIs" priority="171" operator="equal" aboveAverage="0" equalAverage="0" bottom="0" percent="0" rank="0" text="" dxfId="175">
      <formula>$C$37</formula>
    </cfRule>
  </conditionalFormatting>
  <conditionalFormatting sqref="AZ18:AZ20">
    <cfRule type="cellIs" priority="172" operator="lessThanOrEqual" aboveAverage="0" equalAverage="0" bottom="0" percent="0" rank="0" text="" dxfId="176">
      <formula>$E$38</formula>
    </cfRule>
    <cfRule type="cellIs" priority="173" operator="between" aboveAverage="0" equalAverage="0" bottom="0" percent="0" rank="0" text="" dxfId="177">
      <formula>$E$38</formula>
      <formula>$C$38</formula>
    </cfRule>
    <cfRule type="cellIs" priority="174" operator="greaterThan" aboveAverage="0" equalAverage="0" bottom="0" percent="0" rank="0" text="" dxfId="178">
      <formula>$C$38</formula>
    </cfRule>
  </conditionalFormatting>
  <conditionalFormatting sqref="AX21">
    <cfRule type="cellIs" priority="175" operator="equal" aboveAverage="0" equalAverage="0" bottom="0" percent="0" rank="0" text="" dxfId="179">
      <formula>$E$37</formula>
    </cfRule>
    <cfRule type="cellIs" priority="176" operator="equal" aboveAverage="0" equalAverage="0" bottom="0" percent="0" rank="0" text="" dxfId="180">
      <formula>$D$37</formula>
    </cfRule>
    <cfRule type="cellIs" priority="177" operator="equal" aboveAverage="0" equalAverage="0" bottom="0" percent="0" rank="0" text="" dxfId="181">
      <formula>$C$37</formula>
    </cfRule>
  </conditionalFormatting>
  <conditionalFormatting sqref="AX18:AX20">
    <cfRule type="cellIs" priority="178" operator="lessThanOrEqual" aboveAverage="0" equalAverage="0" bottom="0" percent="0" rank="0" text="" dxfId="182">
      <formula>$E$38</formula>
    </cfRule>
    <cfRule type="cellIs" priority="179" operator="between" aboveAverage="0" equalAverage="0" bottom="0" percent="0" rank="0" text="" dxfId="183">
      <formula>$E$38</formula>
      <formula>$C$38</formula>
    </cfRule>
    <cfRule type="cellIs" priority="180" operator="greaterThan" aboveAverage="0" equalAverage="0" bottom="0" percent="0" rank="0" text="" dxfId="184">
      <formula>$C$38</formula>
    </cfRule>
  </conditionalFormatting>
  <conditionalFormatting sqref="AV21">
    <cfRule type="cellIs" priority="181" operator="equal" aboveAverage="0" equalAverage="0" bottom="0" percent="0" rank="0" text="" dxfId="185">
      <formula>$E$37</formula>
    </cfRule>
    <cfRule type="cellIs" priority="182" operator="equal" aboveAverage="0" equalAverage="0" bottom="0" percent="0" rank="0" text="" dxfId="186">
      <formula>$D$37</formula>
    </cfRule>
    <cfRule type="cellIs" priority="183" operator="equal" aboveAverage="0" equalAverage="0" bottom="0" percent="0" rank="0" text="" dxfId="187">
      <formula>$C$37</formula>
    </cfRule>
  </conditionalFormatting>
  <conditionalFormatting sqref="AV18:AV20">
    <cfRule type="cellIs" priority="184" operator="lessThanOrEqual" aboveAverage="0" equalAverage="0" bottom="0" percent="0" rank="0" text="" dxfId="188">
      <formula>$E$38</formula>
    </cfRule>
    <cfRule type="cellIs" priority="185" operator="between" aboveAverage="0" equalAverage="0" bottom="0" percent="0" rank="0" text="" dxfId="189">
      <formula>$E$38</formula>
      <formula>$C$38</formula>
    </cfRule>
    <cfRule type="cellIs" priority="186" operator="greaterThan" aboveAverage="0" equalAverage="0" bottom="0" percent="0" rank="0" text="" dxfId="190">
      <formula>$C$38</formula>
    </cfRule>
  </conditionalFormatting>
  <conditionalFormatting sqref="AT21">
    <cfRule type="cellIs" priority="187" operator="equal" aboveAverage="0" equalAverage="0" bottom="0" percent="0" rank="0" text="" dxfId="191">
      <formula>$E$37</formula>
    </cfRule>
    <cfRule type="cellIs" priority="188" operator="equal" aboveAverage="0" equalAverage="0" bottom="0" percent="0" rank="0" text="" dxfId="192">
      <formula>$D$37</formula>
    </cfRule>
    <cfRule type="cellIs" priority="189" operator="equal" aboveAverage="0" equalAverage="0" bottom="0" percent="0" rank="0" text="" dxfId="193">
      <formula>$C$37</formula>
    </cfRule>
  </conditionalFormatting>
  <conditionalFormatting sqref="AT18:AT20">
    <cfRule type="cellIs" priority="190" operator="lessThanOrEqual" aboveAverage="0" equalAverage="0" bottom="0" percent="0" rank="0" text="" dxfId="194">
      <formula>$E$38</formula>
    </cfRule>
    <cfRule type="cellIs" priority="191" operator="between" aboveAverage="0" equalAverage="0" bottom="0" percent="0" rank="0" text="" dxfId="195">
      <formula>$E$38</formula>
      <formula>$C$38</formula>
    </cfRule>
    <cfRule type="cellIs" priority="192" operator="greaterThan" aboveAverage="0" equalAverage="0" bottom="0" percent="0" rank="0" text="" dxfId="196">
      <formula>$C$38</formula>
    </cfRule>
  </conditionalFormatting>
  <conditionalFormatting sqref="AR21">
    <cfRule type="cellIs" priority="193" operator="equal" aboveAverage="0" equalAverage="0" bottom="0" percent="0" rank="0" text="" dxfId="197">
      <formula>$E$37</formula>
    </cfRule>
    <cfRule type="cellIs" priority="194" operator="equal" aboveAverage="0" equalAverage="0" bottom="0" percent="0" rank="0" text="" dxfId="198">
      <formula>$D$37</formula>
    </cfRule>
    <cfRule type="cellIs" priority="195" operator="equal" aboveAverage="0" equalAverage="0" bottom="0" percent="0" rank="0" text="" dxfId="199">
      <formula>$C$37</formula>
    </cfRule>
  </conditionalFormatting>
  <conditionalFormatting sqref="AR18:AR20">
    <cfRule type="cellIs" priority="196" operator="lessThanOrEqual" aboveAverage="0" equalAverage="0" bottom="0" percent="0" rank="0" text="" dxfId="200">
      <formula>$E$38</formula>
    </cfRule>
    <cfRule type="cellIs" priority="197" operator="between" aboveAverage="0" equalAverage="0" bottom="0" percent="0" rank="0" text="" dxfId="201">
      <formula>$E$38</formula>
      <formula>$C$38</formula>
    </cfRule>
    <cfRule type="cellIs" priority="198" operator="greaterThan" aboveAverage="0" equalAverage="0" bottom="0" percent="0" rank="0" text="" dxfId="202">
      <formula>$C$38</formula>
    </cfRule>
  </conditionalFormatting>
  <conditionalFormatting sqref="AP21">
    <cfRule type="cellIs" priority="199" operator="equal" aboveAverage="0" equalAverage="0" bottom="0" percent="0" rank="0" text="" dxfId="203">
      <formula>$E$37</formula>
    </cfRule>
    <cfRule type="cellIs" priority="200" operator="equal" aboveAverage="0" equalAverage="0" bottom="0" percent="0" rank="0" text="" dxfId="204">
      <formula>$D$37</formula>
    </cfRule>
    <cfRule type="cellIs" priority="201" operator="equal" aboveAverage="0" equalAverage="0" bottom="0" percent="0" rank="0" text="" dxfId="205">
      <formula>$C$37</formula>
    </cfRule>
  </conditionalFormatting>
  <conditionalFormatting sqref="AP18:AP20">
    <cfRule type="cellIs" priority="202" operator="lessThanOrEqual" aboveAverage="0" equalAverage="0" bottom="0" percent="0" rank="0" text="" dxfId="206">
      <formula>$E$38</formula>
    </cfRule>
    <cfRule type="cellIs" priority="203" operator="between" aboveAverage="0" equalAverage="0" bottom="0" percent="0" rank="0" text="" dxfId="207">
      <formula>$E$38</formula>
      <formula>$C$38</formula>
    </cfRule>
    <cfRule type="cellIs" priority="204" operator="greaterThan" aboveAverage="0" equalAverage="0" bottom="0" percent="0" rank="0" text="" dxfId="208">
      <formula>$C$38</formula>
    </cfRule>
  </conditionalFormatting>
  <conditionalFormatting sqref="AN21">
    <cfRule type="cellIs" priority="205" operator="equal" aboveAverage="0" equalAverage="0" bottom="0" percent="0" rank="0" text="" dxfId="209">
      <formula>$E$37</formula>
    </cfRule>
    <cfRule type="cellIs" priority="206" operator="equal" aboveAverage="0" equalAverage="0" bottom="0" percent="0" rank="0" text="" dxfId="210">
      <formula>$D$37</formula>
    </cfRule>
    <cfRule type="cellIs" priority="207" operator="equal" aboveAverage="0" equalAverage="0" bottom="0" percent="0" rank="0" text="" dxfId="211">
      <formula>$C$37</formula>
    </cfRule>
  </conditionalFormatting>
  <conditionalFormatting sqref="AN18:AN20">
    <cfRule type="cellIs" priority="208" operator="lessThanOrEqual" aboveAverage="0" equalAverage="0" bottom="0" percent="0" rank="0" text="" dxfId="212">
      <formula>$E$38</formula>
    </cfRule>
    <cfRule type="cellIs" priority="209" operator="between" aboveAverage="0" equalAverage="0" bottom="0" percent="0" rank="0" text="" dxfId="213">
      <formula>$E$38</formula>
      <formula>$C$38</formula>
    </cfRule>
    <cfRule type="cellIs" priority="210" operator="greaterThan" aboveAverage="0" equalAverage="0" bottom="0" percent="0" rank="0" text="" dxfId="214">
      <formula>$C$38</formula>
    </cfRule>
  </conditionalFormatting>
  <conditionalFormatting sqref="AL21">
    <cfRule type="cellIs" priority="211" operator="equal" aboveAverage="0" equalAverage="0" bottom="0" percent="0" rank="0" text="" dxfId="215">
      <formula>$E$37</formula>
    </cfRule>
    <cfRule type="cellIs" priority="212" operator="equal" aboveAverage="0" equalAverage="0" bottom="0" percent="0" rank="0" text="" dxfId="216">
      <formula>$D$37</formula>
    </cfRule>
    <cfRule type="cellIs" priority="213" operator="equal" aboveAverage="0" equalAverage="0" bottom="0" percent="0" rank="0" text="" dxfId="217">
      <formula>$C$37</formula>
    </cfRule>
  </conditionalFormatting>
  <conditionalFormatting sqref="AL18:AL20">
    <cfRule type="cellIs" priority="214" operator="lessThanOrEqual" aboveAverage="0" equalAverage="0" bottom="0" percent="0" rank="0" text="" dxfId="218">
      <formula>$E$38</formula>
    </cfRule>
    <cfRule type="cellIs" priority="215" operator="between" aboveAverage="0" equalAverage="0" bottom="0" percent="0" rank="0" text="" dxfId="219">
      <formula>$E$38</formula>
      <formula>$C$38</formula>
    </cfRule>
    <cfRule type="cellIs" priority="216" operator="greaterThan" aboveAverage="0" equalAverage="0" bottom="0" percent="0" rank="0" text="" dxfId="220">
      <formula>$C$38</formula>
    </cfRule>
  </conditionalFormatting>
  <conditionalFormatting sqref="AJ21">
    <cfRule type="cellIs" priority="217" operator="equal" aboveAverage="0" equalAverage="0" bottom="0" percent="0" rank="0" text="" dxfId="221">
      <formula>$E$37</formula>
    </cfRule>
    <cfRule type="cellIs" priority="218" operator="equal" aboveAverage="0" equalAverage="0" bottom="0" percent="0" rank="0" text="" dxfId="222">
      <formula>$D$37</formula>
    </cfRule>
    <cfRule type="cellIs" priority="219" operator="equal" aboveAverage="0" equalAverage="0" bottom="0" percent="0" rank="0" text="" dxfId="223">
      <formula>$C$37</formula>
    </cfRule>
  </conditionalFormatting>
  <conditionalFormatting sqref="AJ18:AJ20">
    <cfRule type="cellIs" priority="220" operator="lessThanOrEqual" aboveAverage="0" equalAverage="0" bottom="0" percent="0" rank="0" text="" dxfId="224">
      <formula>$E$38</formula>
    </cfRule>
    <cfRule type="cellIs" priority="221" operator="between" aboveAverage="0" equalAverage="0" bottom="0" percent="0" rank="0" text="" dxfId="225">
      <formula>$E$38</formula>
      <formula>$C$38</formula>
    </cfRule>
    <cfRule type="cellIs" priority="222" operator="greaterThan" aboveAverage="0" equalAverage="0" bottom="0" percent="0" rank="0" text="" dxfId="226">
      <formula>$C$38</formula>
    </cfRule>
  </conditionalFormatting>
  <conditionalFormatting sqref="AH21">
    <cfRule type="cellIs" priority="223" operator="equal" aboveAverage="0" equalAverage="0" bottom="0" percent="0" rank="0" text="" dxfId="227">
      <formula>$E$37</formula>
    </cfRule>
    <cfRule type="cellIs" priority="224" operator="equal" aboveAverage="0" equalAverage="0" bottom="0" percent="0" rank="0" text="" dxfId="228">
      <formula>$D$37</formula>
    </cfRule>
    <cfRule type="cellIs" priority="225" operator="equal" aboveAverage="0" equalAverage="0" bottom="0" percent="0" rank="0" text="" dxfId="229">
      <formula>$C$37</formula>
    </cfRule>
  </conditionalFormatting>
  <conditionalFormatting sqref="AH18:AH20">
    <cfRule type="cellIs" priority="226" operator="lessThanOrEqual" aboveAverage="0" equalAverage="0" bottom="0" percent="0" rank="0" text="" dxfId="230">
      <formula>$E$38</formula>
    </cfRule>
    <cfRule type="cellIs" priority="227" operator="between" aboveAverage="0" equalAverage="0" bottom="0" percent="0" rank="0" text="" dxfId="231">
      <formula>$E$38</formula>
      <formula>$C$38</formula>
    </cfRule>
    <cfRule type="cellIs" priority="228" operator="greaterThan" aboveAverage="0" equalAverage="0" bottom="0" percent="0" rank="0" text="" dxfId="232">
      <formula>$C$38</formula>
    </cfRule>
  </conditionalFormatting>
  <conditionalFormatting sqref="AF21">
    <cfRule type="cellIs" priority="229" operator="equal" aboveAverage="0" equalAverage="0" bottom="0" percent="0" rank="0" text="" dxfId="233">
      <formula>$E$37</formula>
    </cfRule>
    <cfRule type="cellIs" priority="230" operator="equal" aboveAverage="0" equalAverage="0" bottom="0" percent="0" rank="0" text="" dxfId="234">
      <formula>$D$37</formula>
    </cfRule>
    <cfRule type="cellIs" priority="231" operator="equal" aboveAverage="0" equalAverage="0" bottom="0" percent="0" rank="0" text="" dxfId="235">
      <formula>$C$37</formula>
    </cfRule>
  </conditionalFormatting>
  <conditionalFormatting sqref="AF18:AF20">
    <cfRule type="cellIs" priority="232" operator="lessThanOrEqual" aboveAverage="0" equalAverage="0" bottom="0" percent="0" rank="0" text="" dxfId="236">
      <formula>$E$38</formula>
    </cfRule>
    <cfRule type="cellIs" priority="233" operator="between" aboveAverage="0" equalAverage="0" bottom="0" percent="0" rank="0" text="" dxfId="237">
      <formula>$E$38</formula>
      <formula>$C$38</formula>
    </cfRule>
    <cfRule type="cellIs" priority="234" operator="greaterThan" aboveAverage="0" equalAverage="0" bottom="0" percent="0" rank="0" text="" dxfId="238">
      <formula>$C$38</formula>
    </cfRule>
  </conditionalFormatting>
  <conditionalFormatting sqref="AD21">
    <cfRule type="cellIs" priority="235" operator="equal" aboveAverage="0" equalAverage="0" bottom="0" percent="0" rank="0" text="" dxfId="239">
      <formula>$E$37</formula>
    </cfRule>
    <cfRule type="cellIs" priority="236" operator="equal" aboveAverage="0" equalAverage="0" bottom="0" percent="0" rank="0" text="" dxfId="240">
      <formula>$D$37</formula>
    </cfRule>
    <cfRule type="cellIs" priority="237" operator="equal" aboveAverage="0" equalAverage="0" bottom="0" percent="0" rank="0" text="" dxfId="241">
      <formula>$C$37</formula>
    </cfRule>
  </conditionalFormatting>
  <conditionalFormatting sqref="AD18:AD20">
    <cfRule type="cellIs" priority="238" operator="lessThanOrEqual" aboveAverage="0" equalAverage="0" bottom="0" percent="0" rank="0" text="" dxfId="242">
      <formula>$E$38</formula>
    </cfRule>
    <cfRule type="cellIs" priority="239" operator="between" aboveAverage="0" equalAverage="0" bottom="0" percent="0" rank="0" text="" dxfId="243">
      <formula>$E$38</formula>
      <formula>$C$38</formula>
    </cfRule>
    <cfRule type="cellIs" priority="240" operator="greaterThan" aboveAverage="0" equalAverage="0" bottom="0" percent="0" rank="0" text="" dxfId="244">
      <formula>$C$38</formula>
    </cfRule>
  </conditionalFormatting>
  <conditionalFormatting sqref="AB21">
    <cfRule type="cellIs" priority="241" operator="equal" aboveAverage="0" equalAverage="0" bottom="0" percent="0" rank="0" text="" dxfId="245">
      <formula>$E$37</formula>
    </cfRule>
    <cfRule type="cellIs" priority="242" operator="equal" aboveAverage="0" equalAverage="0" bottom="0" percent="0" rank="0" text="" dxfId="246">
      <formula>$D$37</formula>
    </cfRule>
    <cfRule type="cellIs" priority="243" operator="equal" aboveAverage="0" equalAverage="0" bottom="0" percent="0" rank="0" text="" dxfId="247">
      <formula>$C$37</formula>
    </cfRule>
  </conditionalFormatting>
  <conditionalFormatting sqref="AB18:AB20">
    <cfRule type="cellIs" priority="244" operator="lessThanOrEqual" aboveAverage="0" equalAverage="0" bottom="0" percent="0" rank="0" text="" dxfId="248">
      <formula>$E$38</formula>
    </cfRule>
    <cfRule type="cellIs" priority="245" operator="between" aboveAverage="0" equalAverage="0" bottom="0" percent="0" rank="0" text="" dxfId="249">
      <formula>$E$38</formula>
      <formula>$C$38</formula>
    </cfRule>
    <cfRule type="cellIs" priority="246" operator="greaterThan" aboveAverage="0" equalAverage="0" bottom="0" percent="0" rank="0" text="" dxfId="250">
      <formula>$C$38</formula>
    </cfRule>
  </conditionalFormatting>
  <conditionalFormatting sqref="Z21">
    <cfRule type="cellIs" priority="247" operator="equal" aboveAverage="0" equalAverage="0" bottom="0" percent="0" rank="0" text="" dxfId="251">
      <formula>$E$37</formula>
    </cfRule>
    <cfRule type="cellIs" priority="248" operator="equal" aboveAverage="0" equalAverage="0" bottom="0" percent="0" rank="0" text="" dxfId="252">
      <formula>$D$37</formula>
    </cfRule>
    <cfRule type="cellIs" priority="249" operator="equal" aboveAverage="0" equalAverage="0" bottom="0" percent="0" rank="0" text="" dxfId="253">
      <formula>$C$37</formula>
    </cfRule>
  </conditionalFormatting>
  <conditionalFormatting sqref="Z18:Z20">
    <cfRule type="cellIs" priority="250" operator="lessThanOrEqual" aboveAverage="0" equalAverage="0" bottom="0" percent="0" rank="0" text="" dxfId="254">
      <formula>$E$38</formula>
    </cfRule>
    <cfRule type="cellIs" priority="251" operator="between" aboveAverage="0" equalAverage="0" bottom="0" percent="0" rank="0" text="" dxfId="255">
      <formula>$E$38</formula>
      <formula>$C$38</formula>
    </cfRule>
    <cfRule type="cellIs" priority="252" operator="greaterThan" aboveAverage="0" equalAverage="0" bottom="0" percent="0" rank="0" text="" dxfId="256">
      <formula>$C$38</formula>
    </cfRule>
  </conditionalFormatting>
  <conditionalFormatting sqref="X21">
    <cfRule type="cellIs" priority="253" operator="equal" aboveAverage="0" equalAverage="0" bottom="0" percent="0" rank="0" text="" dxfId="257">
      <formula>$E$37</formula>
    </cfRule>
    <cfRule type="cellIs" priority="254" operator="equal" aboveAverage="0" equalAverage="0" bottom="0" percent="0" rank="0" text="" dxfId="258">
      <formula>$D$37</formula>
    </cfRule>
    <cfRule type="cellIs" priority="255" operator="equal" aboveAverage="0" equalAverage="0" bottom="0" percent="0" rank="0" text="" dxfId="259">
      <formula>$C$37</formula>
    </cfRule>
  </conditionalFormatting>
  <conditionalFormatting sqref="X18:X20">
    <cfRule type="cellIs" priority="256" operator="lessThanOrEqual" aboveAverage="0" equalAverage="0" bottom="0" percent="0" rank="0" text="" dxfId="260">
      <formula>$E$38</formula>
    </cfRule>
    <cfRule type="cellIs" priority="257" operator="between" aboveAverage="0" equalAverage="0" bottom="0" percent="0" rank="0" text="" dxfId="261">
      <formula>$E$38</formula>
      <formula>$C$38</formula>
    </cfRule>
    <cfRule type="cellIs" priority="258" operator="greaterThan" aboveAverage="0" equalAverage="0" bottom="0" percent="0" rank="0" text="" dxfId="262">
      <formula>$C$38</formula>
    </cfRule>
  </conditionalFormatting>
  <conditionalFormatting sqref="V21">
    <cfRule type="cellIs" priority="259" operator="equal" aboveAverage="0" equalAverage="0" bottom="0" percent="0" rank="0" text="" dxfId="263">
      <formula>$E$37</formula>
    </cfRule>
    <cfRule type="cellIs" priority="260" operator="equal" aboveAverage="0" equalAverage="0" bottom="0" percent="0" rank="0" text="" dxfId="264">
      <formula>$D$37</formula>
    </cfRule>
    <cfRule type="cellIs" priority="261" operator="equal" aboveAverage="0" equalAverage="0" bottom="0" percent="0" rank="0" text="" dxfId="265">
      <formula>$C$37</formula>
    </cfRule>
  </conditionalFormatting>
  <conditionalFormatting sqref="V18:V20">
    <cfRule type="cellIs" priority="262" operator="lessThanOrEqual" aboveAverage="0" equalAverage="0" bottom="0" percent="0" rank="0" text="" dxfId="266">
      <formula>$E$38</formula>
    </cfRule>
    <cfRule type="cellIs" priority="263" operator="between" aboveAverage="0" equalAverage="0" bottom="0" percent="0" rank="0" text="" dxfId="267">
      <formula>$E$38</formula>
      <formula>$C$38</formula>
    </cfRule>
    <cfRule type="cellIs" priority="264" operator="greaterThan" aboveAverage="0" equalAverage="0" bottom="0" percent="0" rank="0" text="" dxfId="268">
      <formula>$C$38</formula>
    </cfRule>
  </conditionalFormatting>
  <conditionalFormatting sqref="T21">
    <cfRule type="cellIs" priority="265" operator="equal" aboveAverage="0" equalAverage="0" bottom="0" percent="0" rank="0" text="" dxfId="269">
      <formula>$E$37</formula>
    </cfRule>
    <cfRule type="cellIs" priority="266" operator="equal" aboveAverage="0" equalAverage="0" bottom="0" percent="0" rank="0" text="" dxfId="270">
      <formula>$D$37</formula>
    </cfRule>
    <cfRule type="cellIs" priority="267" operator="equal" aboveAverage="0" equalAverage="0" bottom="0" percent="0" rank="0" text="" dxfId="271">
      <formula>$C$37</formula>
    </cfRule>
  </conditionalFormatting>
  <conditionalFormatting sqref="L21">
    <cfRule type="cellIs" priority="268" operator="equal" aboveAverage="0" equalAverage="0" bottom="0" percent="0" rank="0" text="" dxfId="272">
      <formula>$E$37</formula>
    </cfRule>
    <cfRule type="cellIs" priority="269" operator="equal" aboveAverage="0" equalAverage="0" bottom="0" percent="0" rank="0" text="" dxfId="273">
      <formula>$D$37</formula>
    </cfRule>
    <cfRule type="cellIs" priority="270" operator="equal" aboveAverage="0" equalAverage="0" bottom="0" percent="0" rank="0" text="" dxfId="274">
      <formula>$C$37</formula>
    </cfRule>
  </conditionalFormatting>
  <conditionalFormatting sqref="J21">
    <cfRule type="cellIs" priority="271" operator="equal" aboveAverage="0" equalAverage="0" bottom="0" percent="0" rank="0" text="" dxfId="275">
      <formula>$E$37</formula>
    </cfRule>
    <cfRule type="cellIs" priority="272" operator="equal" aboveAverage="0" equalAverage="0" bottom="0" percent="0" rank="0" text="" dxfId="276">
      <formula>$D$37</formula>
    </cfRule>
    <cfRule type="cellIs" priority="273" operator="equal" aboveAverage="0" equalAverage="0" bottom="0" percent="0" rank="0" text="" dxfId="277">
      <formula>$C$37</formula>
    </cfRule>
  </conditionalFormatting>
  <conditionalFormatting sqref="H20">
    <cfRule type="cellIs" priority="274" operator="lessThanOrEqual" aboveAverage="0" equalAverage="0" bottom="0" percent="0" rank="0" text="" dxfId="278">
      <formula>$E$38</formula>
    </cfRule>
    <cfRule type="cellIs" priority="275" operator="between" aboveAverage="0" equalAverage="0" bottom="0" percent="0" rank="0" text="" dxfId="279">
      <formula>$E$38</formula>
      <formula>$C$38</formula>
    </cfRule>
    <cfRule type="cellIs" priority="276" operator="greaterThan" aboveAverage="0" equalAverage="0" bottom="0" percent="0" rank="0" text="" dxfId="280">
      <formula>$C$38</formula>
    </cfRule>
  </conditionalFormatting>
  <conditionalFormatting sqref="F18:F19">
    <cfRule type="cellIs" priority="277" operator="lessThanOrEqual" aboveAverage="0" equalAverage="0" bottom="0" percent="0" rank="0" text="" dxfId="281">
      <formula>$E$38</formula>
    </cfRule>
    <cfRule type="cellIs" priority="278" operator="between" aboveAverage="0" equalAverage="0" bottom="0" percent="0" rank="0" text="" dxfId="282">
      <formula>$E$38</formula>
      <formula>$C$38</formula>
    </cfRule>
    <cfRule type="cellIs" priority="279" operator="greaterThan" aboveAverage="0" equalAverage="0" bottom="0" percent="0" rank="0" text="" dxfId="283">
      <formula>$C$38</formula>
    </cfRule>
  </conditionalFormatting>
  <conditionalFormatting sqref="F21">
    <cfRule type="cellIs" priority="280" operator="equal" aboveAverage="0" equalAverage="0" bottom="0" percent="0" rank="0" text="" dxfId="284">
      <formula>$E$37</formula>
    </cfRule>
    <cfRule type="cellIs" priority="281" operator="equal" aboveAverage="0" equalAverage="0" bottom="0" percent="0" rank="0" text="" dxfId="285">
      <formula>$D$37</formula>
    </cfRule>
    <cfRule type="cellIs" priority="282" operator="equal" aboveAverage="0" equalAverage="0" bottom="0" percent="0" rank="0" text="" dxfId="286">
      <formula>$C$37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&amp;L&amp;10&amp;K737373Dell Customer Communication - Confidential&amp;1#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2021-11-04T11:44:55Z</dcterms:created>
  <dc:creator>Konishi, Fabricio - Dell Team</dc:creator>
  <dc:description/>
  <dc:language>pt-BR</dc:language>
  <cp:lastModifiedBy/>
  <dcterms:modified xsi:type="dcterms:W3CDTF">2025-07-10T22:29:31Z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744d05-bb34-4b7a-90cc-132cbdb578be_ActionId">
    <vt:lpwstr>15c74193-b271-4438-b36b-8fe563170a2c</vt:lpwstr>
  </property>
  <property fmtid="{D5CDD505-2E9C-101B-9397-08002B2CF9AE}" pid="3" name="MSIP_Label_80744d05-bb34-4b7a-90cc-132cbdb578be_ContentBits">
    <vt:lpwstr>1</vt:lpwstr>
  </property>
  <property fmtid="{D5CDD505-2E9C-101B-9397-08002B2CF9AE}" pid="4" name="MSIP_Label_80744d05-bb34-4b7a-90cc-132cbdb578be_Enabled">
    <vt:lpwstr>true</vt:lpwstr>
  </property>
  <property fmtid="{D5CDD505-2E9C-101B-9397-08002B2CF9AE}" pid="5" name="MSIP_Label_80744d05-bb34-4b7a-90cc-132cbdb578be_Method">
    <vt:lpwstr>Privileged</vt:lpwstr>
  </property>
  <property fmtid="{D5CDD505-2E9C-101B-9397-08002B2CF9AE}" pid="6" name="MSIP_Label_80744d05-bb34-4b7a-90cc-132cbdb578be_Name">
    <vt:lpwstr>No Protection (Label Only)</vt:lpwstr>
  </property>
  <property fmtid="{D5CDD505-2E9C-101B-9397-08002B2CF9AE}" pid="7" name="MSIP_Label_80744d05-bb34-4b7a-90cc-132cbdb578be_SetDate">
    <vt:lpwstr>2022-04-04T14:55:33Z</vt:lpwstr>
  </property>
  <property fmtid="{D5CDD505-2E9C-101B-9397-08002B2CF9AE}" pid="8" name="MSIP_Label_80744d05-bb34-4b7a-90cc-132cbdb578be_SiteId">
    <vt:lpwstr>945c199a-83a2-4e80-9f8c-5a91be5752dd</vt:lpwstr>
  </property>
</Properties>
</file>